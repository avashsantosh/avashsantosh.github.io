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 workbookPassword="824D" lockStructure="1"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Revenue Drivers" sheetId="3" state="visible" r:id="rId5"/>
    <sheet name="Regional Breakdown" sheetId="4" state="visible" r:id="rId6"/>
    <sheet name="Income Statement" sheetId="5" state="visible" r:id="rId7"/>
    <sheet name="Balance Sheet" sheetId="6" state="visible" r:id="rId8"/>
    <sheet name="Cash Flow" sheetId="7" state="visible" r:id="rId9"/>
    <sheet name="Budget vs Actual" sheetId="8" state="visible" r:id="rId10"/>
    <sheet name="Market Inputs" sheetId="9" state="visible" r:id="rId11"/>
    <sheet name="Competitor Benchmarking" sheetId="10" state="visible" r:id="rId12"/>
    <sheet name="Version History" sheetId="11" state="visible" r:id="rId13"/>
    <sheet name="Sourc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<sst xmlns="http://schemas.openxmlformats.org/spreadsheetml/2006/main" count="568" uniqueCount="478">
  <si>
    <t xml:space="preserve">HUBSPOT, INC.  (NYSE: HUBS)</t>
  </si>
  <si>
    <t xml:space="preserve">Three-Statement Financial Model; SaaS; Customer Platform (CRM, Marketing, Sales &amp; Service)</t>
  </si>
  <si>
    <t xml:space="preserve">Integrated Income Statement · Balance Sheet · Cash Flow · driver-based forecast · regional scenarios · live market data</t>
  </si>
  <si>
    <t xml:space="preserve">AUTHOR &amp; VERSION</t>
  </si>
  <si>
    <t xml:space="preserve">Prepared by:  Avash Pardhootman</t>
  </si>
  <si>
    <t xml:space="preserve">Date:  July 2026   ·   Model version: 1.7 (see Version History)   ·   Units: USD thousands, except per-share</t>
  </si>
  <si>
    <t xml:space="preserve">Periods:  FY2023–FY2025 actual (per SEC filings) · FY2026–FY2030 forecast</t>
  </si>
  <si>
    <t xml:space="preserve">QUICK LINKS</t>
  </si>
  <si>
    <t xml:space="preserve">CONTENTS</t>
  </si>
  <si>
    <t xml:space="preserve">HOW TO USE THIS MODEL</t>
  </si>
  <si>
    <t xml:space="preserve">1.  Start on the Revenue Drivers and Assumptions tabs; every blue cell is an input; yellow cells are the key levers.</t>
  </si>
  <si>
    <t xml:space="preserve">2.  Flip the scenario selector on Regional Breakdown (1 = Standard · 2 = Best Case · 3 = Low Case); the whole model re-runs, including EPS, cash and the benchmarking tab.</t>
  </si>
  <si>
    <t xml:space="preserve">3.  Check Budget vs Actual for FY2025 performance vs guidance; rows over the 10% threshold flag automatically.</t>
  </si>
  <si>
    <t xml:space="preserve">4.  Keep market data current: run refresh_market_data.py in this folder (or use the dashboard ⟳ button); stamps update on Market Inputs and the refresh is logged in Version History.</t>
  </si>
  <si>
    <t xml:space="preserve">5.  For a browser walkthrough or a one-page memo, open Finance_AI_Dashboard.html and use Export memo (PDF).</t>
  </si>
  <si>
    <t xml:space="preserve">MODEL NOTES</t>
  </si>
  <si>
    <t xml:space="preserve">•  FY2023–FY2025 as reported (FY2023 as revised); revenue modeled by segment (subscription + services), each with its own growth and cost ratio.</t>
  </si>
  <si>
    <t xml:space="preserve">•  Subscription revenue is built from a customer roll-forward (CAC, churn, NRR, first-year ARPC) on the Revenue Drivers tab.</t>
  </si>
  <si>
    <t xml:space="preserve">•  The 2025 convertible notes were repaid at maturity; the forecast carries no debt. Balance sheet balances in all periods under every scenario.</t>
  </si>
  <si>
    <t xml:space="preserve">COLOR CONVENTIONS</t>
  </si>
  <si>
    <t xml:space="preserve">Blue = hardcoded input (historical figures as reported; forecast assumptions)</t>
  </si>
  <si>
    <t xml:space="preserve">Black = formula / calculation          Green = direct link to another sheet</t>
  </si>
  <si>
    <t xml:space="preserve">Yellow fill = key assumption levers to flex</t>
  </si>
  <si>
    <t xml:space="preserve">Every data input is cited on the Sources tab, with links and last-updated dates.</t>
  </si>
  <si>
    <t xml:space="preserve">HubSpot, Inc.; Forecast Assumptions</t>
  </si>
  <si>
    <t xml:space="preserve">(USD in thousands, except per-share amounts) · FY2023A–FY2025A per SEC filings · FY2026E–FY2030E forecast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</si>
  <si>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</si>
  <si>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</si>
  <si>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</si>
  <si>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</si>
  <si>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</si>
  <si>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</si>
  <si>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</si>
  <si>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</si>
  <si>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Income statement drivers</t>
  </si>
  <si>
    <t xml:space="preserve">    Subscription revenue growth %; OUTPUT (driven by Revenue Drivers tab)</t>
  </si>
  <si>
    <t xml:space="preserve">Seat + AI-credit expansion moderates from FY25's 19.2%</t>
  </si>
  <si>
    <t xml:space="preserve">    Services &amp; other revenue growth %</t>
  </si>
  <si>
    <t xml:space="preserve">    Subscription cost % of subscription revenue</t>
  </si>
  <si>
    <t xml:space="preserve">Hosting/AI inference costs offset by infrastructure efficiency</t>
  </si>
  <si>
    <t xml:space="preserve">    Services cost % of services revenue</t>
  </si>
  <si>
    <t xml:space="preserve">    Research &amp; development % of revenue</t>
  </si>
  <si>
    <t xml:space="preserve">    Sales &amp; marketing % of revenue</t>
  </si>
  <si>
    <t xml:space="preserve">Gradual leverage from FY25's 44.0%</t>
  </si>
  <si>
    <t xml:space="preserve">    General &amp; administrative % of revenue</t>
  </si>
  <si>
    <t xml:space="preserve">    Stock-based compensation % of revenue</t>
  </si>
  <si>
    <t xml:space="preserve">    Depreciation (PP&amp;E) % of revenue</t>
  </si>
  <si>
    <t xml:space="preserve">    Amortization of capitalized software % of revenue</t>
  </si>
  <si>
    <t xml:space="preserve">    Effective tax rate %</t>
  </si>
  <si>
    <t xml:space="preserve">FY23 rate not meaningful (pre-tax loss); normalizes as profitability scales</t>
  </si>
  <si>
    <t xml:space="preserve">    Interest yield on beginning cash &amp; investments %</t>
  </si>
  <si>
    <t xml:space="preserve">    Diluted share count growth %</t>
  </si>
  <si>
    <t xml:space="preserve">Balance sheet drivers</t>
  </si>
  <si>
    <t xml:space="preserve">    Accounts receivable · days sales outstanding</t>
  </si>
  <si>
    <t xml:space="preserve">    Deferred commissions (current) % of revenue</t>
  </si>
  <si>
    <t xml:space="preserve">    Deferred commissions (noncurrent) % of revenue</t>
  </si>
  <si>
    <t xml:space="preserve">    Prepaid &amp; other current assets % of revenue</t>
  </si>
  <si>
    <t xml:space="preserve">    Other assets % of revenue</t>
  </si>
  <si>
    <t xml:space="preserve">    Accounts payable % of revenue</t>
  </si>
  <si>
    <t xml:space="preserve">    Accrued compensation % of revenue</t>
  </si>
  <si>
    <t xml:space="preserve">    Accrued commissions % of revenue</t>
  </si>
  <si>
    <t xml:space="preserve">    Accrued expenses &amp; other % of revenue</t>
  </si>
  <si>
    <t xml:space="preserve">    Deferred revenue (current) % of revenue</t>
  </si>
  <si>
    <t xml:space="preserve">Billings mix shifts modestly toward annual prepay</t>
  </si>
  <si>
    <t xml:space="preserve">    Deferred revenue (noncurrent) % of revenue</t>
  </si>
  <si>
    <t xml:space="preserve">    Capital expenditures % of revenue</t>
  </si>
  <si>
    <t xml:space="preserve">    Capitalized software additions % of revenue</t>
  </si>
  <si>
    <t xml:space="preserve">Financing drivers ($000s)</t>
  </si>
  <si>
    <t xml:space="preserve">    Share repurchases</t>
  </si>
  <si>
    <t xml:space="preserve">FY25 actual: $500m buyback</t>
  </si>
  <si>
    <t xml:space="preserve">    Proceeds from stock plans</t>
  </si>
  <si>
    <t xml:space="preserve">    Employee taxes on net share settlement</t>
  </si>
  <si>
    <t xml:space="preserve">Historical columns compute actual ratios from the statement tabs; forecast columns (blue) are inputs.</t>
  </si>
  <si>
    <t xml:space="preserve">Investments, leases, goodwill and intangibles held flat in the forecast; 2025 convertible notes were repaid at maturity.</t>
  </si>
  <si>
    <t xml:space="preserve">HubSpot, Inc.; Revenue Drivers (SaaS)</t>
  </si>
  <si>
    <t xml:space="preserve">SaaS unit-economics build (USD in thousands unless noted) · drives Subscription revenue on the Income Statement</t>
  </si>
  <si>
    <t xml:space="preserve">Customer roll-forward</t>
  </si>
  <si>
    <t xml:space="preserve">    Customers, beginning of period</t>
  </si>
  <si>
    <t xml:space="preserve">    New customers added (new-business S&amp;M ÷ CAC)</t>
  </si>
  <si>
    <t xml:space="preserve">    Less: customers churned</t>
  </si>
  <si>
    <t xml:space="preserve">    Customers · end of period</t>
  </si>
  <si>
    <t xml:space="preserve">    Average customers</t>
  </si>
  <si>
    <t xml:space="preserve">Unit economics (inputs)</t>
  </si>
  <si>
    <t xml:space="preserve">    Annual logo churn rate %</t>
  </si>
  <si>
    <t xml:space="preserve">    Customer acquisition cost · CAC ($000s / customer)</t>
  </si>
  <si>
    <t xml:space="preserve">    % of prior-year S&amp;M deployed on new business</t>
  </si>
  <si>
    <t xml:space="preserve">    New-business S&amp;M budget ($000s, lagged one year)</t>
  </si>
  <si>
    <t xml:space="preserve">    First-year ARPC · new customers ($000s)</t>
  </si>
  <si>
    <t xml:space="preserve">    Net revenue retention (NRR) %</t>
  </si>
  <si>
    <t xml:space="preserve">Subscription revenue build ($000s)</t>
  </si>
  <si>
    <t xml:space="preserve">    Retained + expansion revenue (prior revenue × NRR)</t>
  </si>
  <si>
    <t xml:space="preserve">    New-business revenue (gross adds × first-year ARPC)</t>
  </si>
  <si>
    <t xml:space="preserve">SUBSCRIPTION REVENUE ($000s)</t>
  </si>
  <si>
    <t xml:space="preserve">Check vs Income Statement (must be 0)</t>
  </si>
  <si>
    <t xml:space="preserve">KPIs (computed)</t>
  </si>
  <si>
    <t xml:space="preserve">    Implied ARPC on average customers ($ / yr)</t>
  </si>
  <si>
    <t xml:space="preserve">    Implied ending MRR ($000s / month)</t>
  </si>
  <si>
    <t xml:space="preserve">    CAC payback (months, on subscription gross margin)</t>
  </si>
  <si>
    <t xml:space="preserve">    LTV / CAC (x)</t>
  </si>
  <si>
    <t xml:space="preserve">Customer counts, ARPC and NRR per company disclosures (Q4 releases and earnings calls); FY25 NRR ~103.5%, exiting at 105%.</t>
  </si>
  <si>
    <t xml:space="preserve">New adds are funded from PRIOR-year S&amp;M (lagged) to avoid a circular reference with current-year revenue.</t>
  </si>
  <si>
    <t xml:space="preserve">CAC and churn are blended estimates (not company-disclosed); flex the blue inputs to test unit-economics scenarios.</t>
  </si>
  <si>
    <t xml:space="preserve">HubSpot, Inc.; Regional Breakdown &amp; Scenarios</t>
  </si>
  <si>
    <t xml:space="preserve">Revenue, growth and customers by region (USD in thousands unless noted) · regional scenario toggle feeds the Income Statement · base = total revenue</t>
  </si>
  <si>
    <t xml:space="preserve">SCENARIO SELECTOR  (1 = Standard · 2 = Best Case · 3 = Low Case)</t>
  </si>
  <si>
    <t xml:space="preserve">REGIONAL MIX (% of total revenue)</t>
  </si>
  <si>
    <t xml:space="preserve">    North America mix %</t>
  </si>
  <si>
    <t xml:space="preserve">    Europe mix %</t>
  </si>
  <si>
    <t xml:space="preserve">    Asia Pacific mix %</t>
  </si>
  <si>
    <t xml:space="preserve">    Other / rest of world mix % (balancing)</t>
  </si>
  <si>
    <t xml:space="preserve">BASE TOTAL REVENUE BY REGION ($000s)</t>
  </si>
  <si>
    <t xml:space="preserve">    Professional services &amp; other revenue · base path</t>
  </si>
  <si>
    <t xml:space="preserve">    Base total revenue before regional split</t>
  </si>
  <si>
    <t xml:space="preserve">    North America · base</t>
  </si>
  <si>
    <t xml:space="preserve">    Europe · base</t>
  </si>
  <si>
    <t xml:space="preserve">    Asia Pacific · base</t>
  </si>
  <si>
    <t xml:space="preserve">    Other / rest of world · base</t>
  </si>
  <si>
    <t xml:space="preserve">    Total base (sum of regions)</t>
  </si>
  <si>
    <t xml:space="preserve">BASE REGIONAL GROWTH %</t>
  </si>
  <si>
    <t xml:space="preserve">    North America growth %</t>
  </si>
  <si>
    <t xml:space="preserve">    Europe growth %</t>
  </si>
  <si>
    <t xml:space="preserve">    Asia Pacific growth %</t>
  </si>
  <si>
    <t xml:space="preserve">SCENARIO GROWTH DELTAS (added to base regional growth)</t>
  </si>
  <si>
    <t xml:space="preserve">    Best Case · North America</t>
  </si>
  <si>
    <t xml:space="preserve">    Best Case · Europe</t>
  </si>
  <si>
    <t xml:space="preserve">    Best Case · Asia Pacific</t>
  </si>
  <si>
    <t xml:space="preserve">    Low Case · North America</t>
  </si>
  <si>
    <t xml:space="preserve">    Low Case · Europe</t>
  </si>
  <si>
    <t xml:space="preserve">    Low Case · Asia Pacific</t>
  </si>
  <si>
    <t xml:space="preserve">SCENARIO TOTAL REVENUE BY REGION ($000s)</t>
  </si>
  <si>
    <t xml:space="preserve">    North America · scenario</t>
  </si>
  <si>
    <t xml:space="preserve">    Europe · scenario</t>
  </si>
  <si>
    <t xml:space="preserve">    Asia Pacific · scenario</t>
  </si>
  <si>
    <t xml:space="preserve">    Other / rest of world · scenario (no delta)</t>
  </si>
  <si>
    <t xml:space="preserve">TOTAL · SCENARIO ($000s)</t>
  </si>
  <si>
    <t xml:space="preserve">    Scenario total growth %</t>
  </si>
  <si>
    <t xml:space="preserve">    Scenario scaling factor (× base)</t>
  </si>
  <si>
    <t xml:space="preserve">    Scenario revenue delta vs base ($000s)</t>
  </si>
  <si>
    <t xml:space="preserve">SCENARIO IMPACT DASHBOARD (flips with the selector)</t>
  </si>
  <si>
    <t xml:space="preserve">    Net income · scenario ($000s)</t>
  </si>
  <si>
    <t xml:space="preserve">    Diluted EPS · scenario ($)</t>
  </si>
  <si>
    <t xml:space="preserve">    Ending cash · scenario ($000s)</t>
  </si>
  <si>
    <t xml:space="preserve">    Revenue CAGR FY2025A → FY2030E (scenario)</t>
  </si>
  <si>
    <t xml:space="preserve">CUSTOMERS BY REGION</t>
  </si>
  <si>
    <t xml:space="preserve">    Total customers (count)</t>
  </si>
  <si>
    <t xml:space="preserve">    North America customer mix %</t>
  </si>
  <si>
    <t xml:space="preserve">    Europe customer mix %</t>
  </si>
  <si>
    <t xml:space="preserve">    Asia Pacific customer mix %</t>
  </si>
  <si>
    <t xml:space="preserve">    Other customer mix % (balancing)</t>
  </si>
  <si>
    <t xml:space="preserve">    North America · customers</t>
  </si>
  <si>
    <t xml:space="preserve">    Europe · customers</t>
  </si>
  <si>
    <t xml:space="preserve">    Asia Pacific · customers</t>
  </si>
  <si>
    <t xml:space="preserve">    Other · customers</t>
  </si>
  <si>
    <t xml:space="preserve">Check: regional mix sums to 100% (must be 0)</t>
  </si>
  <si>
    <t xml:space="preserve">Check: scenario total ties to Income Statement (must be 0)</t>
  </si>
  <si>
    <t xml:space="preserve">•  Regional revenue mix per the 10-K geographic disclosure (Americas / Europe / Asia Pacific); ~40% of revenue is generated outside the Americas.</t>
  </si>
  <si>
    <t xml:space="preserve">•  The scenario scaling factor multiplies both subscription and services revenue on the Income Statement, so all downstream statements flex with the toggle. New-customer adds also respond (they are funded from prior-year S&amp;M).</t>
  </si>
  <si>
    <t xml:space="preserve">•  Customer regional mix is an estimate; HubSpot discloses customer counts in total (288,706 at FY25) but not by region; international customers skew higher than revenue mix due to lower ARPC.</t>
  </si>
  <si>
    <t xml:space="preserve">HubSpot, Inc.; Income Statement</t>
  </si>
  <si>
    <t xml:space="preserve">Revenue</t>
  </si>
  <si>
    <t xml:space="preserve">    Subscription</t>
  </si>
  <si>
    <t xml:space="preserve">Source: HUBS Q4 FY2025 and Q4 FY2024 earnings releases (SEC 8-K Ex. 99.1); FY2023 as revised</t>
  </si>
  <si>
    <t xml:space="preserve">    Professional services and other</t>
  </si>
  <si>
    <t xml:space="preserve">Total revenue</t>
  </si>
  <si>
    <t xml:space="preserve">Cost of revenue</t>
  </si>
  <si>
    <t xml:space="preserve">    Cost of revenue · subscription</t>
  </si>
  <si>
    <t xml:space="preserve">    Cost of revenue · professional services and other</t>
  </si>
  <si>
    <t xml:space="preserve">Total cost of revenue</t>
  </si>
  <si>
    <t xml:space="preserve">Gross profit</t>
  </si>
  <si>
    <t xml:space="preserve">Operating expenses</t>
  </si>
  <si>
    <t xml:space="preserve">    Research and development</t>
  </si>
  <si>
    <t xml:space="preserve">    Sales and marketing</t>
  </si>
  <si>
    <t xml:space="preserve">    General and administrative</t>
  </si>
  <si>
    <t xml:space="preserve">    Restructuring</t>
  </si>
  <si>
    <t xml:space="preserve">Total operating expenses</t>
  </si>
  <si>
    <t xml:space="preserve">Income (loss) from operations</t>
  </si>
  <si>
    <t xml:space="preserve">    Interest income</t>
  </si>
  <si>
    <t xml:space="preserve">    Interest expense</t>
  </si>
  <si>
    <t xml:space="preserve">    Other income (expense), net</t>
  </si>
  <si>
    <t xml:space="preserve">Income (loss) before income taxes</t>
  </si>
  <si>
    <t xml:space="preserve">    Income tax expense</t>
  </si>
  <si>
    <t xml:space="preserve">Net income (loss)</t>
  </si>
  <si>
    <t xml:space="preserve">Weighted-average diluted shares outstanding</t>
  </si>
  <si>
    <t xml:space="preserve">Diluted EPS ($)</t>
  </si>
  <si>
    <t xml:space="preserve">Memo: stock-based compensation expense</t>
  </si>
  <si>
    <t xml:space="preserve">Memo: depreciation (PP&amp;E)</t>
  </si>
  <si>
    <t xml:space="preserve">Historical split of D&amp;A not disclosed at this level; total D&amp;A per cash flow statement</t>
  </si>
  <si>
    <t xml:space="preserve">Memo: amortization of capitalized software</t>
  </si>
  <si>
    <t xml:space="preserve">HubSpot, Inc.; Balance Sheet</t>
  </si>
  <si>
    <t xml:space="preserve">Assets</t>
  </si>
  <si>
    <t xml:space="preserve">    Cash and cash equivalents</t>
  </si>
  <si>
    <t xml:space="preserve">    Short-term investments</t>
  </si>
  <si>
    <t xml:space="preserve">Short- and long-term investments held flat in forecast; excess cash accumulates in cash &amp; equivalents</t>
  </si>
  <si>
    <t xml:space="preserve">    Accounts receivable, net</t>
  </si>
  <si>
    <t xml:space="preserve">    Deferred commission expense</t>
  </si>
  <si>
    <t xml:space="preserve">    Prepaid expenses and other current assets</t>
  </si>
  <si>
    <t xml:space="preserve">Total current assets</t>
  </si>
  <si>
    <t xml:space="preserve">    Long-term investments</t>
  </si>
  <si>
    <t xml:space="preserve">    Property and equipment, net</t>
  </si>
  <si>
    <t xml:space="preserve">    Capitalized software development costs, net</t>
  </si>
  <si>
    <t xml:space="preserve">    Operating lease right-of-use assets</t>
  </si>
  <si>
    <t xml:space="preserve">    Deferred commission expense, noncurrent</t>
  </si>
  <si>
    <t xml:space="preserve">    Other assets</t>
  </si>
  <si>
    <t xml:space="preserve">    Intangible assets, net</t>
  </si>
  <si>
    <t xml:space="preserve">    Goodwill</t>
  </si>
  <si>
    <t xml:space="preserve">Total assets</t>
  </si>
  <si>
    <t xml:space="preserve">Liabilities</t>
  </si>
  <si>
    <t xml:space="preserve">    Accounts payable</t>
  </si>
  <si>
    <t xml:space="preserve">    Accrued compensation costs</t>
  </si>
  <si>
    <t xml:space="preserve">    Accrued commissions</t>
  </si>
  <si>
    <t xml:space="preserve">    Accrued expenses and other current liabilities</t>
  </si>
  <si>
    <t xml:space="preserve">    Operating lease liabilities</t>
  </si>
  <si>
    <t xml:space="preserve">    Convertible senior notes, current</t>
  </si>
  <si>
    <t xml:space="preserve">    Deferred revenue</t>
  </si>
  <si>
    <t xml:space="preserve">Total current liabilities</t>
  </si>
  <si>
    <t xml:space="preserve">    Operating lease liabilities, noncurrent</t>
  </si>
  <si>
    <t xml:space="preserve">    Deferred revenue, noncurrent</t>
  </si>
  <si>
    <t xml:space="preserve">    Other long-term liabilities</t>
  </si>
  <si>
    <t xml:space="preserve">    Convertible senior notes, noncurrent</t>
  </si>
  <si>
    <t xml:space="preserve">Total liabilities</t>
  </si>
  <si>
    <t xml:space="preserve">Stockholders' equity</t>
  </si>
  <si>
    <t xml:space="preserve">    Common stock</t>
  </si>
  <si>
    <t xml:space="preserve">    Treasury stock</t>
  </si>
  <si>
    <t xml:space="preserve">    Additional paid-in capital</t>
  </si>
  <si>
    <t xml:space="preserve">    Accumulated other comprehensive income (loss)</t>
  </si>
  <si>
    <t xml:space="preserve">    Accumulated deficit</t>
  </si>
  <si>
    <t xml:space="preserve">Total stockholders' equity</t>
  </si>
  <si>
    <t xml:space="preserve">Total liabilities and equity</t>
  </si>
  <si>
    <t xml:space="preserve">Balance check (assets − liabilities &amp; equity)</t>
  </si>
  <si>
    <t xml:space="preserve">Must be zero in every period</t>
  </si>
  <si>
    <t xml:space="preserve">HubSpot, Inc.; Statement of Cash Flows</t>
  </si>
  <si>
    <t xml:space="preserve">Operating activities</t>
  </si>
  <si>
    <t xml:space="preserve">    Net income (loss)</t>
  </si>
  <si>
    <t xml:space="preserve">    Depreciation and amortization</t>
  </si>
  <si>
    <t xml:space="preserve">    Stock-based compensation</t>
  </si>
  <si>
    <t xml:space="preserve">    Other non-cash adjustments, net</t>
  </si>
  <si>
    <t xml:space="preserve">Historical: bond discount accretion, strategic investment marks, deferred taxes and other, per filings</t>
  </si>
  <si>
    <t xml:space="preserve">    (Increase) in accounts receivable</t>
  </si>
  <si>
    <t xml:space="preserve">    (Increase) in deferred commission expense</t>
  </si>
  <si>
    <t xml:space="preserve">    (Increase) in prepaid and other assets</t>
  </si>
  <si>
    <t xml:space="preserve">    Increase (decrease) in accounts payable</t>
  </si>
  <si>
    <t xml:space="preserve">    Increase in accrued expenses and other liabilities</t>
  </si>
  <si>
    <t xml:space="preserve">    Increase in deferred revenue</t>
  </si>
  <si>
    <t xml:space="preserve">    Change in operating leases, net</t>
  </si>
  <si>
    <t xml:space="preserve">Net cash provided by operating activities</t>
  </si>
  <si>
    <t xml:space="preserve">Investing activities</t>
  </si>
  <si>
    <t xml:space="preserve">    Purchases of property and equipment</t>
  </si>
  <si>
    <t xml:space="preserve">    Capitalization of software development costs</t>
  </si>
  <si>
    <t xml:space="preserve">    Net (purchases) maturities of investments</t>
  </si>
  <si>
    <t xml:space="preserve">Forecast: investment portfolio held flat; excess cash retained in cash &amp; equivalents</t>
  </si>
  <si>
    <t xml:space="preserve">    Business acquisitions, net of cash acquired</t>
  </si>
  <si>
    <t xml:space="preserve">    Other investing activities</t>
  </si>
  <si>
    <t xml:space="preserve">Net cash provided by (used in) investing activities</t>
  </si>
  <si>
    <t xml:space="preserve">Financing activities</t>
  </si>
  <si>
    <t xml:space="preserve">    Proceeds from issuance of stock under stock plans</t>
  </si>
  <si>
    <t xml:space="preserve">    Repurchases of common stock</t>
  </si>
  <si>
    <t xml:space="preserve">    Repayment of convertible notes</t>
  </si>
  <si>
    <t xml:space="preserve">    Employee taxes paid on net share settlement</t>
  </si>
  <si>
    <t xml:space="preserve">Net cash provided by (used in) financing activities</t>
  </si>
  <si>
    <t xml:space="preserve">    Effect of exchange rate changes on cash</t>
  </si>
  <si>
    <t xml:space="preserve">Net increase in cash</t>
  </si>
  <si>
    <t xml:space="preserve">    Cash, equivalents and restricted cash, beginning</t>
  </si>
  <si>
    <t xml:space="preserve">Cash, equivalents and restricted cash, ending</t>
  </si>
  <si>
    <t xml:space="preserve">    Less: restricted cash</t>
  </si>
  <si>
    <t xml:space="preserve">Cash and cash equivalents per balance sheet</t>
  </si>
  <si>
    <t xml:space="preserve">Links to cash on the balance sheet</t>
  </si>
  <si>
    <t xml:space="preserve">HubSpot, Inc.; Budget vs Actual Variance</t>
  </si>
  <si>
    <t xml:space="preserve">FY2025 actual vs FY2025 budget (USD in thousands, except per-share) · Budget seeded from company guidance where published; all budget cells editable</t>
  </si>
  <si>
    <t xml:space="preserve">Variance flag threshold (|variance %| above this is flagged)</t>
  </si>
  <si>
    <t xml:space="preserve">Metric</t>
  </si>
  <si>
    <t xml:space="preserve">FY2025 Budget</t>
  </si>
  <si>
    <t xml:space="preserve">Budget source</t>
  </si>
  <si>
    <t xml:space="preserve">Override budget</t>
  </si>
  <si>
    <t xml:space="preserve">Effective budget</t>
  </si>
  <si>
    <t xml:space="preserve">FY2025 Actual</t>
  </si>
  <si>
    <t xml:space="preserve">Variance $</t>
  </si>
  <si>
    <t xml:space="preserve">Variance %</t>
  </si>
  <si>
    <t xml:space="preserve">Flag</t>
  </si>
  <si>
    <t xml:space="preserve">Company FY25 guidance (Feb 12, 2025): $2,985–2,995M</t>
  </si>
  <si>
    <t xml:space="preserve">Placeholder · replace with your budget</t>
  </si>
  <si>
    <t xml:space="preserve">Income (loss) from operations (GAAP)</t>
  </si>
  <si>
    <t xml:space="preserve">Net income (GAAP)</t>
  </si>
  <si>
    <t xml:space="preserve">Non-GAAP operating income</t>
  </si>
  <si>
    <t xml:space="preserve">Company FY25 guidance: $543–547M (~18% margin)</t>
  </si>
  <si>
    <t xml:space="preserve">Non-GAAP diluted EPS ($)</t>
  </si>
  <si>
    <t xml:space="preserve">Company FY25 guidance: $9.11–9.19</t>
  </si>
  <si>
    <t xml:space="preserve">Free cash flow (non-GAAP)</t>
  </si>
  <si>
    <t xml:space="preserve">Notes:</t>
  </si>
  <si>
    <t xml:space="preserve">•  Budget column is seeded with the midpoint of company guidance issued at the start of FY2025 where published (see Budget source).</t>
  </si>
  <si>
    <t xml:space="preserve">•  Rows marked "Placeholder" carry illustrative budgets; overwrite them, or type your own number in the yellow Override column (it takes precedence).</t>
  </si>
  <si>
    <t xml:space="preserve">•  GAAP actuals pull live from the statement tabs (green); non-GAAP actuals are per the company's Q4 FY2025 earnings release.</t>
  </si>
  <si>
    <t xml:space="preserve">•  Rows turn red automatically when |Variance %| exceeds the threshold in B4.</t>
  </si>
  <si>
    <t xml:space="preserve">HubSpot, Inc.; Market Inputs</t>
  </si>
  <si>
    <t xml:space="preserve">Snapshot as of market close July 17, 2026 · All values are inputs (blue); see REFRESH section to wire live updates</t>
  </si>
  <si>
    <t xml:space="preserve">Data as of:</t>
  </si>
  <si>
    <t xml:space="preserve">July 17, 2026</t>
  </si>
  <si>
    <t xml:space="preserve">Last refreshed:</t>
  </si>
  <si>
    <t xml:space="preserve">2026-07-20 (initial snapshot)</t>
  </si>
  <si>
    <t xml:space="preserve">INTEREST RATES</t>
  </si>
  <si>
    <t xml:space="preserve">Fed funds target (upper bound)</t>
  </si>
  <si>
    <t xml:space="preserve">Range 3.50%–3.75%; unchanged at June 17, 2026 FOMC</t>
  </si>
  <si>
    <t xml:space="preserve">SOFR</t>
  </si>
  <si>
    <t xml:space="preserve">NY Fed, latest print</t>
  </si>
  <si>
    <t xml:space="preserve">3-month T-bill (CMT)</t>
  </si>
  <si>
    <t xml:space="preserve">Fed H.15, Jul 16, 2026</t>
  </si>
  <si>
    <t xml:space="preserve">2-year Treasury</t>
  </si>
  <si>
    <t xml:space="preserve">Close Jul 17, 2026</t>
  </si>
  <si>
    <t xml:space="preserve">10-year Treasury</t>
  </si>
  <si>
    <t xml:space="preserve">30-year Treasury</t>
  </si>
  <si>
    <t xml:space="preserve">EQUITY MARKET DATA: PEER SET</t>
  </si>
  <si>
    <t xml:space="preserve">PLTR</t>
  </si>
  <si>
    <t xml:space="preserve">HUBS</t>
  </si>
  <si>
    <t xml:space="preserve">SOFI</t>
  </si>
  <si>
    <t xml:space="preserve">Share price ($)</t>
  </si>
  <si>
    <t xml:space="preserve">Market cap ($mm)</t>
  </si>
  <si>
    <t xml:space="preserve">Enterprise value ($mm)</t>
  </si>
  <si>
    <t xml:space="preserve">Trailing P/E (x)</t>
  </si>
  <si>
    <t xml:space="preserve">Forward P/E (x)</t>
  </si>
  <si>
    <t xml:space="preserve">EV / Revenue, TTM (x)</t>
  </si>
  <si>
    <t xml:space="preserve">TTM revenue ($mm)</t>
  </si>
  <si>
    <t xml:space="preserve">IMPLIED VALUATION CROSS-CHECK (uses this model's forecast)</t>
  </si>
  <si>
    <t xml:space="preserve">Selected EV / Revenue multiple (x)</t>
  </si>
  <si>
    <t xml:space="preserve">Defaults to this company's current multiple; flex it or use a peer's</t>
  </si>
  <si>
    <t xml:space="preserve">Model FY2026E revenue ($000s)</t>
  </si>
  <si>
    <t xml:space="preserve">Implied enterprise value ($mm)</t>
  </si>
  <si>
    <t xml:space="preserve">Current enterprise value ($mm)</t>
  </si>
  <si>
    <t xml:space="preserve">Implied premium / (discount) to current EV</t>
  </si>
  <si>
    <t xml:space="preserve">Selected forward P/E multiple (x)</t>
  </si>
  <si>
    <t xml:space="preserve">Note: HUBS consensus forward P/E is non-GAAP-based; pair the model's GAAP net income with a GAAP multiple (or swap in non-GAAP EPS) for an apples-to-apples read</t>
  </si>
  <si>
    <t xml:space="preserve">Model FY2026E net income ($000s)</t>
  </si>
  <si>
    <t xml:space="preserve">Implied market capitalization ($mm)</t>
  </si>
  <si>
    <t xml:space="preserve">Current market capitalization ($mm)</t>
  </si>
  <si>
    <t xml:space="preserve">Implied premium / (discount) to current market cap</t>
  </si>
  <si>
    <t xml:space="preserve">REFRESH: MAKE THIS TAB LIVE (one-time setup, ~2 minutes in Excel)</t>
  </si>
  <si>
    <t xml:space="preserve">1.  Excel ▸ Data ▸ Get Data (Power Query) ▸ From Other Sources ▸ From Web.</t>
  </si>
  <si>
    <t xml:space="preserve">2.  Treasury yields (CSV, no key needed):  https://home.treasury.gov/resource-center/data-chart-center/interest-rates/daily-treasury-rates.csv/2026/all?type=daily_treasury_yield_curve&amp;field_tdr_date_value=2026&amp;page&amp;_format=csv</t>
  </si>
  <si>
    <t xml:space="preserve">3.  Load the query to a new sheet; point the blue rate cells above at the latest row (e.g. =INDEX(...)).</t>
  </si>
  <si>
    <t xml:space="preserve">4.  Share prices (JSON):  https://query1.finance.yahoo.com/v8/finance/chart/HUBS  ; Power Query ▸ From Web, drill to chart.result.meta.regularMarketPrice.</t>
  </si>
  <si>
    <t xml:space="preserve">5.  After setup, Data ▸ Refresh All re-pulls everything with one click.</t>
  </si>
  <si>
    <t xml:space="preserve">6.  Until then this tab is a dated snapshot (see B4); or ask Claude to refresh the numbers any time.</t>
  </si>
  <si>
    <t xml:space="preserve">Sources for this snapshot: Fed H.15 (Jul 17, 2026), NY Fed SOFR, stockanalysis.com / S&amp;P Global (Jul 17–19, 2026).</t>
  </si>
  <si>
    <t xml:space="preserve">HubSpot, Inc.; Competitor Benchmarking</t>
  </si>
  <si>
    <t xml:space="preserve">Company column pulls live from this model (FY2025 actuals; FY2026E is scenario-aware) · comps per latest reported fiscal year, valuations as of July 17–20, 2026 · industry benchmarks: Clouded Judgement SaaS medians (7/10/26) and US bank norms</t>
  </si>
  <si>
    <t xml:space="preserve">HubSpot (model)</t>
  </si>
  <si>
    <t xml:space="preserve">Salesforce (CRM, FY ended 1/26)</t>
  </si>
  <si>
    <t xml:space="preserve">monday.com (MNDY, FY2025)</t>
  </si>
  <si>
    <t xml:space="preserve">Peer median</t>
  </si>
  <si>
    <t xml:space="preserve">Industry benchmark</t>
  </si>
  <si>
    <t xml:space="preserve">What it means</t>
  </si>
  <si>
    <t xml:space="preserve">Latest FY revenue ($mm)</t>
  </si>
  <si>
    <t xml:space="preserve">—</t>
  </si>
  <si>
    <t xml:space="preserve">HubSpot sits between the mega-platform (CRM, 13x its size) and the SMB challenger (MNDY, 40% its size).</t>
  </si>
  <si>
    <t xml:space="preserve">Revenue growth · FY2025 %</t>
  </si>
  <si>
    <t xml:space="preserve">19% growth beats the 13% SaaS median and CRM (10%), trails MNDY (27%); solidly in the mid-growth bucket.</t>
  </si>
  <si>
    <t xml:space="preserve">Revenue growth · FY2026E (model, scenario-aware) %</t>
  </si>
  <si>
    <t xml:space="preserve">n/a</t>
  </si>
  <si>
    <t xml:space="preserve">Model FY26E growth (scenario-aware) of ~18% assumes NRR recovery plus steady customer adds; see Revenue Drivers.</t>
  </si>
  <si>
    <t xml:space="preserve">GAAP gross margin · FY2025 %</t>
  </si>
  <si>
    <t xml:space="preserve">84% GAAP gross margin is top-decile; above CRM and the median, just below MNDY's 89%.</t>
  </si>
  <si>
    <t xml:space="preserve">GAAP operating margin · FY2025 %</t>
  </si>
  <si>
    <t xml:space="preserve">GAAP operating margin ~0% vs CRM's 20% reflects heavy SBC; non-GAAP operating margin was 18.6% in FY25.</t>
  </si>
  <si>
    <t xml:space="preserve">Free cash flow margin · FY2025 %</t>
  </si>
  <si>
    <t xml:space="preserve">18% FCF margin (after capitalized software) is just below the 21% median; operating leverage is still building.</t>
  </si>
  <si>
    <t xml:space="preserve">Rule of 40 (growth + FCF margin)</t>
  </si>
  <si>
    <t xml:space="preserve">Rule of 40 at ~38% is just under the bar; either growth re-acceleration or FCF expansion pushes it through.</t>
  </si>
  <si>
    <t xml:space="preserve">EV / Revenue (TTM) (x)</t>
  </si>
  <si>
    <t xml:space="preserve">At 3.0x TTM revenue HubSpot trades BELOW the 5.4x mid-growth bucket median; the market is pricing it like a low-growth asset despite 19% growth.</t>
  </si>
  <si>
    <t xml:space="preserve">Forward P/E (x, non-GAAP consensus basis)</t>
  </si>
  <si>
    <t xml:space="preserve">~21x S&amp;P 500</t>
  </si>
  <si>
    <t xml:space="preserve">16x forward earnings (non-GAAP basis) is a modest premium to CRM (12x); cheap relative to its history and growth.</t>
  </si>
  <si>
    <t xml:space="preserve">INDUSTRY BENCHMARK NOTES</t>
  </si>
  <si>
    <t xml:space="preserve">•  SaaS medians per Clouded Judgement (Altimeter, 7/10/26): NTM growth 13% · GAAP gross margin 76% · operating margin 2% · FCF margin 21% · NRR 110% · EV/NTM revenue: overall 3.5x, high-growth (&gt;22%) 20.3x, mid-growth (15–22%) 5.4x, low-growth 2.8x.</t>
  </si>
  <si>
    <t xml:space="preserve">•  Rule of 40 = revenue growth % + FCF margin % ≥ 40% is the standard bar for a healthy software business.</t>
  </si>
  <si>
    <t xml:space="preserve">TAKEAWAYS: WHAT THIS COMPARISON MEANS</t>
  </si>
  <si>
    <t xml:space="preserve">•  HubSpot's operating metrics (19% growth, 84% gross margin, ~38% Rule of 40) screen mid-pack-or-better, but its 3.0x EV/revenue sits below the mid-growth SaaS bucket median of 5.4x; a potential re-rating gap.</t>
  </si>
  <si>
    <t xml:space="preserve">•  The GAAP/non-GAAP spread is the story: ~0% GAAP operating margin vs 18.6% non-GAAP is almost entirely stock-based comp (~17% of revenue in the model assumptions).</t>
  </si>
  <si>
    <t xml:space="preserve">•  Versus Salesforce, HubSpot trades growth for margin; versus monday.com, it trades growth for scale and a stickier multi-hub platform.</t>
  </si>
  <si>
    <t xml:space="preserve">Sources: company Q4/FY earnings releases and 10-Ks (SEC EDGAR); stockanalysis.com / S&amp;P Global valuations Jul 17–20, 2026; cloudedjudgement.substack.com 7/10/26; multiples.vc Jul 2026. Comp forward P/Es are consensus (non-GAAP) based.</t>
  </si>
  <si>
    <t xml:space="preserve">HubSpot, Inc.; Version History</t>
  </si>
  <si>
    <t xml:space="preserve">Log of every assumptions refresh: what changed, when, and why. Add a new row each time inputs are updated.</t>
  </si>
  <si>
    <t xml:space="preserve">Version</t>
  </si>
  <si>
    <t xml:space="preserve">Date</t>
  </si>
  <si>
    <t xml:space="preserve">Changed by</t>
  </si>
  <si>
    <t xml:space="preserve">What changed</t>
  </si>
  <si>
    <t xml:space="preserve">Why</t>
  </si>
  <si>
    <t xml:space="preserve">1.0</t>
  </si>
  <si>
    <t xml:space="preserve">2026-07-19</t>
  </si>
  <si>
    <t xml:space="preserve">A. Pardhootman</t>
  </si>
  <si>
    <t xml:space="preserve">Initial build: FY2023–FY2025 actuals per SEC filings; FY2026–FY2030 top-down forecast; Assumptions, Income Statement, Balance Sheet, Cash Flow and Cover with sheet links.</t>
  </si>
  <si>
    <t xml:space="preserve">Portfolio work sample: integrated three-statement model with balance and cash tie-out checks.</t>
  </si>
  <si>
    <t xml:space="preserve">1.1</t>
  </si>
  <si>
    <t xml:space="preserve">2026-07-20</t>
  </si>
  <si>
    <t xml:space="preserve">Added Budget vs Actual tab (FY2025 vs company guidance, 10% variance flag with conditional formatting) and Market Inputs tab (rates and valuation multiples snapshot as of 7/17/26, implied-valuation cross-check, Power Query refresh guide).</t>
  </si>
  <si>
    <t xml:space="preserve">Variance discipline against real guidance; live market context for the forecast.</t>
  </si>
  <si>
    <t xml:space="preserve">1.2</t>
  </si>
  <si>
    <t xml:space="preserve">Rebuilt revenue as a bottoms-up Revenue Drivers tab (customer roll-forward (CAC/churn), NRR expansion, first-year ARPC); superseded top-down assumption rows relabeled as OUTPUT.</t>
  </si>
  <si>
    <t xml:space="preserve">Unit-economics realism: forecast driven by operating metrics rather than a single growth rate.</t>
  </si>
  <si>
    <t xml:space="preserve">1.3</t>
  </si>
  <si>
    <t xml:space="preserve">Added Regional Breakdown tab: NA / Europe / APAC mix from 10-K geographic disclosures, customer splits, and a scenario selector with per-region growth deltas feeding the Income Statement.</t>
  </si>
  <si>
    <t xml:space="preserve">Geographic visibility and one-cell scenario analysis across the full model.</t>
  </si>
  <si>
    <t xml:space="preserve">1.4</t>
  </si>
  <si>
    <t xml:space="preserve">Added Competitor Benchmarking tab vs Salesforce and monday.com + SaaS industry medians; company column pulls live from the model with interpretation and takeaways.</t>
  </si>
  <si>
    <t xml:space="preserve">Relative context: absolute metrics only matter versus peers and industry medians.</t>
  </si>
  <si>
    <t xml:space="preserve">1.5</t>
  </si>
  <si>
    <t xml:space="preserve">Renamed scenarios to Standard Case / Best Case / Low Case across the selector, delta rows and commentary; companion interactive HTML dashboard extracted from this workbook under all three scenarios.</t>
  </si>
  <si>
    <t xml:space="preserve">Clearer scenario language for non-technical reviewers; browser-based review experience.</t>
  </si>
  <si>
    <t xml:space="preserve">1.6</t>
  </si>
  <si>
    <t xml:space="preserve">Added this Version History tab.</t>
  </si>
  <si>
    <t xml:space="preserve">Change auditability: every future assumptions refresh gets logged here.</t>
  </si>
  <si>
    <t xml:space="preserve">1.7</t>
  </si>
  <si>
    <t xml:space="preserve">Added market-data refresh infrastructure: "Last refreshed" stamp on Market Inputs, market_data.js live feed consumed by the dashboard, a Refresh button in the dashboard, and companion script refresh_market_data.py that updates the feed, this workbook's Market Inputs and this log.</t>
  </si>
  <si>
    <t xml:space="preserve">Keep valuation context current and visibly timestamped for reviewers.</t>
  </si>
  <si>
    <t xml:space="preserve">1.8</t>
  </si>
  <si>
    <t xml:space="preserve">Applied workbook protection: all formulas, labels and structure locked with a password on every tab; blue/yellow input cells (assumptions, scenario selector, budget overrides) remain editable so the model stays interactive.</t>
  </si>
  <si>
    <t xml:space="preserve">Distribution protection: models are downloadable from the public portfolio site; viewers can flex inputs but cannot alter or break the model.</t>
  </si>
  <si>
    <t xml:space="preserve">1.9</t>
  </si>
  <si>
    <t xml:space="preserve">Copy edit across all tabs: punctuation and separator cleanup for a natural reading style; no numbers or formulas changed.</t>
  </si>
  <si>
    <t xml:space="preserve">Readability pass ahead of public distribution.</t>
  </si>
  <si>
    <t xml:space="preserve">How to log a refresh: add a row (yellow cells above are ready) with the new version number, date, your name, the cells/tabs you changed (e.g. "Assumptions F7: FY27 revenue growth 45% → 40% after Q1 FY27 print"), and the reason. Keep one row per refresh so the audit trail stays readable.</t>
  </si>
  <si>
    <t xml:space="preserve">Hubspot, Inc.; Data Sources &amp; Citations</t>
  </si>
  <si>
    <t xml:space="preserve">Every input in this model, where it comes from, and how current it is. Click "Open ↗" for the underlying source. Refresh stamps also appear on Market Inputs; refreshes are logged in Version History.</t>
  </si>
  <si>
    <t xml:space="preserve">Data input</t>
  </si>
  <si>
    <t xml:space="preserve">Used on tab(s)</t>
  </si>
  <si>
    <t xml:space="preserve">Source / citation</t>
  </si>
  <si>
    <t xml:space="preserve">Link</t>
  </si>
  <si>
    <t xml:space="preserve">Last updated</t>
  </si>
  <si>
    <t xml:space="preserve">How it refreshes</t>
  </si>
  <si>
    <t xml:space="preserve">COMPANY FINANCIALS &amp; DISCLOSURES</t>
  </si>
  <si>
    <t xml:space="preserve">FY2025 &amp; FY2024 income statement, balance sheet, cash flow</t>
  </si>
  <si>
    <t xml:space="preserve">Income Statement · Balance Sheet · Cash Flow</t>
  </si>
  <si>
    <t xml:space="preserve">HubSpot Q4 FY2025 earnings release, 8-K Ex. 99.1, filed Feb 11, 2026</t>
  </si>
  <si>
    <t xml:space="preserve">Static actuals · restate on next annual filing</t>
  </si>
  <si>
    <t xml:space="preserve">FY2023 financial statements (as revised)</t>
  </si>
  <si>
    <t xml:space="preserve">HubSpot Q4 FY2024 earnings release, 8-K Ex. 99.1, filed Feb 12, 2025</t>
  </si>
  <si>
    <t xml:space="preserve">Static actuals</t>
  </si>
  <si>
    <t xml:space="preserve">Revenue by region (Americas / Europe / Asia Pacific)</t>
  </si>
  <si>
    <t xml:space="preserve">Regional Breakdown</t>
  </si>
  <si>
    <t xml:space="preserve">FY2025 Form 10-K, geographic data note, filed Feb 11, 2026</t>
  </si>
  <si>
    <t xml:space="preserve">Static · update on next 10-K</t>
  </si>
  <si>
    <t xml:space="preserve">Customer counts (205,091 → 288,706), ARPC, net revenue retention</t>
  </si>
  <si>
    <t xml:space="preserve">Revenue Drivers</t>
  </si>
  <si>
    <t xml:space="preserve">Q4 FY2023–FY2025 releases; NRR ~101.8% (FY24) / ~103.5% (FY25) per earnings calls</t>
  </si>
  <si>
    <t xml:space="preserve">Static · update quarterly; CAC and churn are analyst estimates</t>
  </si>
  <si>
    <t xml:space="preserve">GUIDANCE &amp; BUDGET</t>
  </si>
  <si>
    <t xml:space="preserve">FY2025 guidance (revenue, non-GAAP op income, non-GAAP EPS)</t>
  </si>
  <si>
    <t xml:space="preserve">Budget vs Actual</t>
  </si>
  <si>
    <t xml:space="preserve">Issued with Q4 FY2024 release, Feb 12, 2025 ($2,985–2,995M revenue)</t>
  </si>
  <si>
    <t xml:space="preserve">Static · replace with FY2026 guidance next cycle</t>
  </si>
  <si>
    <t xml:space="preserve">MARKET DATA</t>
  </si>
  <si>
    <t xml:space="preserve">US Treasury yield curve (3M/2Y/10Y/30Y)</t>
  </si>
  <si>
    <t xml:space="preserve">Market Inputs</t>
  </si>
  <si>
    <t xml:space="preserve">US Treasury daily yield curve; Fed H.15 release (Jul 17, 2026)</t>
  </si>
  <si>
    <t xml:space="preserve">2026-07-17</t>
  </si>
  <si>
    <t xml:space="preserve">refresh_market_data.py or dashboard ⟳ button</t>
  </si>
  <si>
    <t xml:space="preserve">Fed funds target &amp; SOFR</t>
  </si>
  <si>
    <t xml:space="preserve">FOMC statement (Jun 17, 2026); NY Fed SOFR reference rate</t>
  </si>
  <si>
    <t xml:space="preserve">refresh_market_data.py (manual for Fed funds)</t>
  </si>
  <si>
    <t xml:space="preserve">Share price, market cap, EV, P/E, EV/Revenue</t>
  </si>
  <si>
    <t xml:space="preserve">Market Inputs · Competitor Benchmarking</t>
  </si>
  <si>
    <t xml:space="preserve">stockanalysis.com (HUBS); data: S&amp;P Global Market Intelligence, close Jul 17, 2026</t>
  </si>
  <si>
    <t xml:space="preserve">refresh_market_data.py scales by live price ratio</t>
  </si>
  <si>
    <t xml:space="preserve">VALUATION &amp; INDUSTRY BENCHMARKS</t>
  </si>
  <si>
    <t xml:space="preserve">Comp fundamentals · Salesforce (FY ended 1/26)</t>
  </si>
  <si>
    <t xml:space="preserve">Competitor Benchmarking</t>
  </si>
  <si>
    <t xml:space="preserve">Salesforce Q4 FY2026 results, Feb 25, 2026</t>
  </si>
  <si>
    <t xml:space="preserve">Static · update after comp earnings</t>
  </si>
  <si>
    <t xml:space="preserve">Comp fundamentals · monday.com (FY2025)</t>
  </si>
  <si>
    <t xml:space="preserve">monday.com Q4/FY2025 6-K press release, Feb 9, 2026</t>
  </si>
  <si>
    <t xml:space="preserve">SaaS industry medians (growth, margins, EV/NTM revenue buckets)</t>
  </si>
  <si>
    <t xml:space="preserve">Clouded Judgement 7.10.26 (Altimeter / Jamin Ball); cross-checked vs multiples.vc Jul 2026</t>
  </si>
  <si>
    <t xml:space="preserve">2026-07-10</t>
  </si>
  <si>
    <t xml:space="preserve">Manual · ask Claude to refresh</t>
  </si>
  <si>
    <t xml:space="preserve">FORECAST ASSUMPTIONS</t>
  </si>
  <si>
    <t xml:space="preserve">FY2026–FY2030 growth, unit-economics and scenario inputs</t>
  </si>
  <si>
    <t xml:space="preserve">Assumptions · Revenue Drivers · Regional Breakdown</t>
  </si>
  <si>
    <t xml:space="preserve">Analyst judgment (A. Pardhootman), anchored to disclosed trends</t>
  </si>
  <si>
    <t xml:space="preserve">Every change is logged on the Version History tab</t>
  </si>
  <si>
    <t xml:space="preserve">Conventions: "Static actuals" never change once filed (restated only if the company restates). Market data carries dual stamps; "Data as of" (the market close the values describe) and "Last refreshed" (when the file was last updated). Analyst assumptions are the author's judgment; the Version History tab is the audit trail.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</si>
</sst>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;\(0.0%\)"/>
    <numFmt numFmtId="166" formatCode="0"/>
    <numFmt numFmtId="167" formatCode="#,##0;\(#,##0\);\-"/>
    <numFmt numFmtId="168" formatCode="#,##0"/>
    <numFmt numFmtId="169" formatCode="#,##0.0"/>
    <numFmt numFmtId="170" formatCode="0.0%"/>
    <numFmt numFmtId="171" formatCode="0.0&quot; mo&quot;"/>
    <numFmt numFmtId="172" formatCode="0.0\x"/>
    <numFmt numFmtId="173" formatCode="0.000\×"/>
    <numFmt numFmtId="174" formatCode="0.00;\(0.00\)"/>
    <numFmt numFmtId="175" formatCode="\$0.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Arial"/>
      <family val="0"/>
      <charset val="1"/>
    </font>
    <font>
      <b val="true"/>
      <sz val="12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563C1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F1F7"/>
      </patternFill>
    </fill>
    <fill>
      <patternFill patternType="solid">
        <fgColor rgb="FFD9D9D9"/>
        <bgColor rgb="FFEDF1F7"/>
      </patternFill>
    </fill>
    <fill>
      <patternFill patternType="solid">
        <fgColor rgb="FFEDF1F7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17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8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7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0" fontId="17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1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2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2" fontId="8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2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2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EDF1F7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4"/>
  </cols>
  <sheetData>
    <row r="2" customFormat="false" ht="21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6" customFormat="false" ht="15" hidden="false" customHeight="true" outlineLevel="0" collapsed="false">
      <c r="B6" s="5" t="s">
        <v>3</v>
      </c>
    </row>
    <row r="7" customFormat="false" ht="15" hidden="false" customHeight="true" outlineLevel="0" collapsed="false">
      <c r="B7" s="6" t="s">
        <v>4</v>
      </c>
    </row>
    <row r="8" customFormat="false" ht="15" hidden="false" customHeight="true" outlineLevel="0" collapsed="false">
      <c r="B8" s="7" t="str">
        <f aca="false">HYPERLINK("mailto:avash.pardhootman@gmail.com","Contact:  avash.pardhootman@gmail.com")</f>
        <v>Contact:  avash.pardhootman@gmail.com</v>
      </c>
    </row>
    <row r="9" customFormat="false" ht="15" hidden="false" customHeight="true" outlineLevel="0" collapsed="false">
      <c r="B9" s="7" t="str">
        <f aca="false">HYPERLINK("https://www.linkedin.com/in/avashpardhootman/","LinkedIn:  linkedin.com/in/avashpardhootman")</f>
        <v>LinkedIn:  linkedin.com/in/avashpardhootman</v>
      </c>
    </row>
    <row r="10" customFormat="false" ht="15" hidden="false" customHeight="true" outlineLevel="0" collapsed="false">
      <c r="B10" s="6" t="s">
        <v>5</v>
      </c>
    </row>
    <row r="11" customFormat="false" ht="15" hidden="false" customHeight="true" outlineLevel="0" collapsed="false">
      <c r="B11" s="6" t="s">
        <v>6</v>
      </c>
    </row>
    <row r="13" customFormat="false" ht="15" hidden="false" customHeight="true" outlineLevel="0" collapsed="false">
      <c r="B13" s="5" t="s">
        <v>7</v>
      </c>
    </row>
    <row r="14" customFormat="false" ht="15" hidden="false" customHeight="true" outlineLevel="0" collapsed="false">
      <c r="B14" s="7" t="str">
        <f aca="false">HYPERLINK("Finance_AI_Dashboard.html","▸  Interactive dashboard  ·  toggle industry, scenario and region in your browser (same folder)")</f>
        <v>▸  Interactive dashboard  ·  toggle industry, scenario and region in your browser (same folder)</v>
      </c>
    </row>
    <row r="15" customFormat="false" ht="15" hidden="false" customHeight="true" outlineLevel="0" collapsed="false">
      <c r="B15" s="7" t="str">
        <f aca="false">HYPERLINK("README.md","▸  Portfolio README  ·  overview of all three models and how they fit together")</f>
        <v>▸  Portfolio README  ·  overview of all three models and how they fit together</v>
      </c>
    </row>
    <row r="16" customFormat="false" ht="15" hidden="false" customHeight="true" outlineLevel="0" collapsed="false">
      <c r="B16" s="7" t="str">
        <f aca="false">HYPERLINK("refresh_market_data.py","▸  Market-data refresh script  ·  run to update prices, rates and refresh stamps everywhere")</f>
        <v>▸  Market-data refresh script  ·  run to update prices, rates and refresh stamps everywhere</v>
      </c>
    </row>
    <row r="18" customFormat="false" ht="15" hidden="false" customHeight="true" outlineLevel="0" collapsed="false">
      <c r="B18" s="5" t="s">
        <v>8</v>
      </c>
    </row>
    <row r="19" customFormat="false" ht="15" hidden="false" customHeight="true" outlineLevel="0" collapsed="false">
      <c r="B19" s="7" t="str">
        <f aca="false">HYPERLINK("#'Assumptions'!A1","▸  Assumptions  ·  Margin, tax, working-capital and financing drivers")</f>
        <v>▸  Assumptions  ·  Margin, tax, working-capital and financing drivers</v>
      </c>
    </row>
    <row r="20" customFormat="false" ht="15" hidden="false" customHeight="true" outlineLevel="0" collapsed="false">
      <c r="B20" s="7" t="str">
        <f aca="false">HYPERLINK("#'Revenue Drivers'!A1","▸  Revenue Drivers  ·  Bottoms-up sector build driving revenue and key costs")</f>
        <v>▸  Revenue Drivers  ·  Bottoms-up sector build driving revenue and key costs</v>
      </c>
    </row>
    <row r="21" customFormat="false" ht="15" hidden="false" customHeight="true" outlineLevel="0" collapsed="false">
      <c r="B21" s="7" t="str">
        <f aca="false">HYPERLINK("#'Regional Breakdown'!A1","▸  Regional Breakdown  ·  NA / Europe / APAC splits and the Standard / Best / Low case selector")</f>
        <v>▸  Regional Breakdown  ·  NA / Europe / APAC splits and the Standard / Best / Low case selector</v>
      </c>
    </row>
    <row r="22" customFormat="false" ht="15" hidden="false" customHeight="true" outlineLevel="0" collapsed="false">
      <c r="B22" s="7" t="str">
        <f aca="false">HYPERLINK("#'Income Statement'!A1","▸  Income Statement  ·  Revenue build-down to EPS")</f>
        <v>▸  Income Statement  ·  Revenue build-down to EPS</v>
      </c>
    </row>
    <row r="23" customFormat="false" ht="15" hidden="false" customHeight="true" outlineLevel="0" collapsed="false">
      <c r="B23" s="7" t="str">
        <f aca="false">HYPERLINK("#'Balance Sheet'!A1","▸  Balance Sheet  ·  Assets, liabilities and equity, with balance check")</f>
        <v>▸  Balance Sheet  ·  Assets, liabilities and equity, with balance check</v>
      </c>
    </row>
    <row r="24" customFormat="false" ht="15" hidden="false" customHeight="true" outlineLevel="0" collapsed="false">
      <c r="B24" s="7" t="str">
        <f aca="false">HYPERLINK("#'Cash Flow'!A1","▸  Cash Flow  ·  Indirect-method cash flow; ending cash links to the balance sheet")</f>
        <v>▸  Cash Flow  ·  Indirect-method cash flow; ending cash links to the balance sheet</v>
      </c>
    </row>
    <row r="25" customFormat="false" ht="15" hidden="false" customHeight="true" outlineLevel="0" collapsed="false">
      <c r="B25" s="7" t="str">
        <f aca="false">HYPERLINK("#'Budget vs Actual'!A1","▸  Budget vs Actual  ·  FY2025 vs guidance with automatic &gt;10% variance flagging")</f>
        <v>▸  Budget vs Actual  ·  FY2025 vs guidance with automatic &gt;10% variance flagging</v>
      </c>
    </row>
    <row r="26" customFormat="false" ht="15" hidden="false" customHeight="true" outlineLevel="0" collapsed="false">
      <c r="B26" s="7" t="str">
        <f aca="false">HYPERLINK("#'Market Inputs'!A1","▸  Market Inputs  ·  Rates and valuation multiples with refresh stamps")</f>
        <v>▸  Market Inputs  ·  Rates and valuation multiples with refresh stamps</v>
      </c>
    </row>
    <row r="27" customFormat="false" ht="15" hidden="false" customHeight="true" outlineLevel="0" collapsed="false">
      <c r="B27" s="7" t="str">
        <f aca="false">HYPERLINK("#'Competitor Benchmarking'!A1","▸  Competitor Benchmarking  ·  Two public comps + peer median + industry benchmarks")</f>
        <v>▸  Competitor Benchmarking  ·  Two public comps + peer median + industry benchmarks</v>
      </c>
    </row>
    <row r="28" customFormat="false" ht="15" hidden="false" customHeight="true" outlineLevel="0" collapsed="false">
      <c r="B28" s="7" t="str">
        <f aca="false">HYPERLINK("#'Version History'!A1","▸  Version History  ·  Audit log of every assumptions and data refresh")</f>
        <v>▸  Version History  ·  Audit log of every assumptions and data refresh</v>
      </c>
    </row>
    <row r="29" customFormat="false" ht="15" hidden="false" customHeight="true" outlineLevel="0" collapsed="false">
      <c r="B29" s="7" t="str">
        <f aca="false">HYPERLINK("#'Sources'!A1","▸  Sources  ·  Where every input comes from: citations, links, last-updated dates")</f>
        <v>▸  Sources  ·  Where every input comes from: citations, links, last-updated dates</v>
      </c>
    </row>
    <row r="31" customFormat="false" ht="15" hidden="false" customHeight="true" outlineLevel="0" collapsed="false">
      <c r="B31" s="5" t="s">
        <v>9</v>
      </c>
    </row>
    <row r="32" customFormat="false" ht="15" hidden="false" customHeight="true" outlineLevel="0" collapsed="false">
      <c r="B32" s="8" t="s">
        <v>10</v>
      </c>
    </row>
    <row r="33" customFormat="false" ht="15" hidden="false" customHeight="true" outlineLevel="0" collapsed="false">
      <c r="B33" s="8" t="s">
        <v>11</v>
      </c>
    </row>
    <row r="34" customFormat="false" ht="15" hidden="false" customHeight="true" outlineLevel="0" collapsed="false">
      <c r="B34" s="8" t="s">
        <v>12</v>
      </c>
    </row>
    <row r="35" customFormat="false" ht="15" hidden="false" customHeight="true" outlineLevel="0" collapsed="false">
      <c r="B35" s="8" t="s">
        <v>13</v>
      </c>
    </row>
    <row r="36" customFormat="false" ht="15" hidden="false" customHeight="true" outlineLevel="0" collapsed="false">
      <c r="B36" s="8" t="s">
        <v>14</v>
      </c>
    </row>
    <row r="38" customFormat="false" ht="15" hidden="false" customHeight="true" outlineLevel="0" collapsed="false">
      <c r="B38" s="5" t="s">
        <v>15</v>
      </c>
    </row>
    <row r="39" customFormat="false" ht="15" hidden="false" customHeight="true" outlineLevel="0" collapsed="false">
      <c r="B39" s="8" t="s">
        <v>16</v>
      </c>
    </row>
    <row r="40" customFormat="false" ht="15" hidden="false" customHeight="true" outlineLevel="0" collapsed="false">
      <c r="B40" s="8" t="s">
        <v>17</v>
      </c>
    </row>
    <row r="41" customFormat="false" ht="15" hidden="false" customHeight="true" outlineLevel="0" collapsed="false">
      <c r="B41" s="8" t="s">
        <v>18</v>
      </c>
    </row>
    <row r="43" customFormat="false" ht="15" hidden="false" customHeight="true" outlineLevel="0" collapsed="false">
      <c r="B43" s="5" t="s">
        <v>19</v>
      </c>
    </row>
    <row r="44" customFormat="false" ht="15" hidden="false" customHeight="true" outlineLevel="0" collapsed="false">
      <c r="B44" s="9" t="s">
        <v>20</v>
      </c>
    </row>
    <row r="45" customFormat="false" ht="15" hidden="false" customHeight="true" outlineLevel="0" collapsed="false">
      <c r="B45" s="8" t="s">
        <v>21</v>
      </c>
    </row>
    <row r="46" customFormat="false" ht="15" hidden="false" customHeight="true" outlineLevel="0" collapsed="false">
      <c r="B46" s="10" t="s">
        <v>22</v>
      </c>
    </row>
    <row r="48" customFormat="false" ht="15" hidden="false" customHeight="true" outlineLevel="0" collapsed="false">
      <c r="B48" s="11" t="s">
        <v>23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9" min="2" style="1" width="13.5"/>
    <col collapsed="false" customWidth="true" hidden="false" outlineLevel="0" max="10" min="10" style="1" width="2"/>
    <col collapsed="false" customWidth="true" hidden="false" outlineLevel="0" max="11" min="11" style="1" width="60"/>
  </cols>
  <sheetData>
    <row r="1" customFormat="false" ht="15" hidden="false" customHeight="true" outlineLevel="0" collapsed="false">
      <c r="A1" s="12" t="s">
        <v>24</v>
      </c>
    </row>
    <row r="2" customFormat="false" ht="15" hidden="false" customHeight="true" outlineLevel="0" collapsed="false">
      <c r="A2" s="11" t="s">
        <v>25</v>
      </c>
    </row>
    <row r="3" customFormat="false" ht="15" hidden="false" customHeight="true" outlineLevel="0" collapsed="false">
      <c r="A3" s="13"/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4" t="s">
        <v>32</v>
      </c>
      <c r="I3" s="14" t="s">
        <v>33</v>
      </c>
    </row>
    <row r="4" customFormat="false" ht="15" hidden="false" customHeight="true" outlineLevel="0" collapsed="false">
      <c r="A4" s="15" t="s">
        <v>34</v>
      </c>
    </row>
    <row r="5" customFormat="false" ht="15" hidden="false" customHeight="true" outlineLevel="0" collapsed="false">
      <c r="A5" s="16" t="s">
        <v>35</v>
      </c>
      <c r="C5" s="17" t="n">
        <f aca="false">'Income Statement'!C5/'Income Statement'!B5-1</f>
        <v>0.210064238921129</v>
      </c>
      <c r="D5" s="17" t="n">
        <f aca="false">'Income Statement'!D5/'Income Statement'!C5-1</f>
        <v>0.192396244317089</v>
      </c>
      <c r="E5" s="17" t="n">
        <f aca="false">'Income Statement'!E5/'Income Statement'!D5-1</f>
        <v>0.186385327395584</v>
      </c>
      <c r="F5" s="17" t="n">
        <f aca="false">'Income Statement'!F5/'Income Statement'!E5-1</f>
        <v>0.182129732976985</v>
      </c>
      <c r="G5" s="17" t="n">
        <f aca="false">'Income Statement'!G5/'Income Statement'!F5-1</f>
        <v>0.178256076016653</v>
      </c>
      <c r="H5" s="17" t="n">
        <f aca="false">'Income Statement'!H5/'Income Statement'!G5-1</f>
        <v>0.174556139847846</v>
      </c>
      <c r="I5" s="17" t="n">
        <f aca="false">'Income Statement'!I5/'Income Statement'!H5-1</f>
        <v>0.171009525750394</v>
      </c>
      <c r="K5" s="18" t="s">
        <v>36</v>
      </c>
    </row>
    <row r="6" customFormat="false" ht="15" hidden="false" customHeight="true" outlineLevel="0" collapsed="false">
      <c r="A6" s="6" t="s">
        <v>37</v>
      </c>
      <c r="C6" s="17" t="n">
        <f aca="false">'Income Statement'!C6/'Income Statement'!B6-1</f>
        <v>0.240551004256593</v>
      </c>
      <c r="D6" s="17" t="n">
        <f aca="false">'Income Statement'!D6/'Income Statement'!C6-1</f>
        <v>0.161249719813094</v>
      </c>
      <c r="E6" s="19" t="n">
        <v>0.1</v>
      </c>
      <c r="F6" s="19" t="n">
        <v>0.1</v>
      </c>
      <c r="G6" s="19" t="n">
        <v>0.1</v>
      </c>
      <c r="H6" s="19" t="n">
        <v>0.1</v>
      </c>
      <c r="I6" s="19" t="n">
        <v>0.1</v>
      </c>
    </row>
    <row r="7" customFormat="false" ht="15" hidden="false" customHeight="true" outlineLevel="0" collapsed="false">
      <c r="A7" s="6" t="s">
        <v>38</v>
      </c>
      <c r="B7" s="17" t="n">
        <f aca="false">'Income Statement'!B9/'Income Statement'!B5</f>
        <v>0.133589736465489</v>
      </c>
      <c r="C7" s="17" t="n">
        <f aca="false">'Income Statement'!C9/'Income Statement'!C5</f>
        <v>0.131104093874949</v>
      </c>
      <c r="D7" s="17" t="n">
        <f aca="false">'Income Statement'!D9/'Income Statement'!D5</f>
        <v>0.14534858483438</v>
      </c>
      <c r="E7" s="20" t="n">
        <v>0.145</v>
      </c>
      <c r="F7" s="20" t="n">
        <v>0.143</v>
      </c>
      <c r="G7" s="20" t="n">
        <v>0.141</v>
      </c>
      <c r="H7" s="20" t="n">
        <v>0.139</v>
      </c>
      <c r="I7" s="20" t="n">
        <v>0.137</v>
      </c>
      <c r="K7" s="18" t="s">
        <v>39</v>
      </c>
    </row>
    <row r="8" customFormat="false" ht="15" hidden="false" customHeight="true" outlineLevel="0" collapsed="false">
      <c r="A8" s="6" t="s">
        <v>40</v>
      </c>
      <c r="B8" s="17" t="n">
        <f aca="false">'Income Statement'!B10/'Income Statement'!B6</f>
        <v>1.16975037967102</v>
      </c>
      <c r="C8" s="17" t="n">
        <f aca="false">'Income Statement'!C10/'Income Statement'!C6</f>
        <v>0.972239943445351</v>
      </c>
      <c r="D8" s="17" t="n">
        <f aca="false">'Income Statement'!D10/'Income Statement'!D6</f>
        <v>0.937667968343999</v>
      </c>
      <c r="E8" s="19" t="n">
        <v>0.93</v>
      </c>
      <c r="F8" s="19" t="n">
        <v>0.93</v>
      </c>
      <c r="G8" s="19" t="n">
        <v>0.93</v>
      </c>
      <c r="H8" s="19" t="n">
        <v>0.93</v>
      </c>
      <c r="I8" s="19" t="n">
        <v>0.93</v>
      </c>
    </row>
    <row r="9" customFormat="false" ht="15" hidden="false" customHeight="true" outlineLevel="0" collapsed="false">
      <c r="A9" s="6" t="s">
        <v>41</v>
      </c>
      <c r="B9" s="17" t="n">
        <f aca="false">'Income Statement'!B15/'Income Statement'!B7</f>
        <v>0.28464494546661</v>
      </c>
      <c r="C9" s="17" t="n">
        <f aca="false">'Income Statement'!C15/'Income Statement'!C7</f>
        <v>0.296365844440985</v>
      </c>
      <c r="D9" s="17" t="n">
        <f aca="false">'Income Statement'!D15/'Income Statement'!D7</f>
        <v>0.289321635402422</v>
      </c>
      <c r="E9" s="19" t="n">
        <v>0.285</v>
      </c>
      <c r="F9" s="19" t="n">
        <v>0.28</v>
      </c>
      <c r="G9" s="19" t="n">
        <v>0.275</v>
      </c>
      <c r="H9" s="19" t="n">
        <v>0.27</v>
      </c>
      <c r="I9" s="19" t="n">
        <v>0.265</v>
      </c>
    </row>
    <row r="10" customFormat="false" ht="15" hidden="false" customHeight="true" outlineLevel="0" collapsed="false">
      <c r="A10" s="6" t="s">
        <v>42</v>
      </c>
      <c r="B10" s="17" t="n">
        <f aca="false">'Income Statement'!B16/'Income Statement'!B7</f>
        <v>0.492371776263345</v>
      </c>
      <c r="C10" s="17" t="n">
        <f aca="false">'Income Statement'!C16/'Income Statement'!C7</f>
        <v>0.463872142149529</v>
      </c>
      <c r="D10" s="17" t="n">
        <f aca="false">'Income Statement'!D16/'Income Statement'!D7</f>
        <v>0.44051703049182</v>
      </c>
      <c r="E10" s="20" t="n">
        <v>0.43</v>
      </c>
      <c r="F10" s="20" t="n">
        <v>0.42</v>
      </c>
      <c r="G10" s="20" t="n">
        <v>0.41</v>
      </c>
      <c r="H10" s="20" t="n">
        <v>0.4</v>
      </c>
      <c r="I10" s="20" t="n">
        <v>0.39</v>
      </c>
      <c r="K10" s="18" t="s">
        <v>43</v>
      </c>
    </row>
    <row r="11" customFormat="false" ht="15" hidden="false" customHeight="true" outlineLevel="0" collapsed="false">
      <c r="A11" s="6" t="s">
        <v>44</v>
      </c>
      <c r="B11" s="17" t="n">
        <f aca="false">'Income Statement'!B17/'Income Statement'!B7</f>
        <v>0.11503342963649</v>
      </c>
      <c r="C11" s="17" t="n">
        <f aca="false">'Income Statement'!C17/'Income Statement'!C7</f>
        <v>0.114301459576494</v>
      </c>
      <c r="D11" s="17" t="n">
        <f aca="false">'Income Statement'!D17/'Income Statement'!D7</f>
        <v>0.104125615645557</v>
      </c>
      <c r="E11" s="19" t="n">
        <v>0.102</v>
      </c>
      <c r="F11" s="19" t="n">
        <v>0.1</v>
      </c>
      <c r="G11" s="19" t="n">
        <v>0.098</v>
      </c>
      <c r="H11" s="19" t="n">
        <v>0.096</v>
      </c>
      <c r="I11" s="19" t="n">
        <v>0.094</v>
      </c>
    </row>
    <row r="12" customFormat="false" ht="15" hidden="false" customHeight="true" outlineLevel="0" collapsed="false">
      <c r="A12" s="6" t="s">
        <v>45</v>
      </c>
      <c r="B12" s="17" t="n">
        <f aca="false">'Cash Flow'!B7/'Income Statement'!B7</f>
        <v>0.199182114338112</v>
      </c>
      <c r="C12" s="17" t="n">
        <f aca="false">'Cash Flow'!C7/'Income Statement'!C7</f>
        <v>0.192107227170022</v>
      </c>
      <c r="D12" s="17" t="n">
        <f aca="false">'Cash Flow'!D7/'Income Statement'!D7</f>
        <v>0.168670754895943</v>
      </c>
      <c r="E12" s="19" t="n">
        <v>0.16</v>
      </c>
      <c r="F12" s="19" t="n">
        <v>0.152</v>
      </c>
      <c r="G12" s="19" t="n">
        <v>0.145</v>
      </c>
      <c r="H12" s="19" t="n">
        <v>0.14</v>
      </c>
      <c r="I12" s="19" t="n">
        <v>0.135</v>
      </c>
    </row>
    <row r="13" customFormat="false" ht="15" hidden="false" customHeight="true" outlineLevel="0" collapsed="false">
      <c r="A13" s="6" t="s">
        <v>46</v>
      </c>
      <c r="E13" s="19" t="n">
        <v>0.008</v>
      </c>
      <c r="F13" s="19" t="n">
        <v>0.008</v>
      </c>
      <c r="G13" s="19" t="n">
        <v>0.008</v>
      </c>
      <c r="H13" s="19" t="n">
        <v>0.008</v>
      </c>
      <c r="I13" s="19" t="n">
        <v>0.008</v>
      </c>
    </row>
    <row r="14" customFormat="false" ht="15" hidden="false" customHeight="true" outlineLevel="0" collapsed="false">
      <c r="A14" s="6" t="s">
        <v>47</v>
      </c>
      <c r="E14" s="19" t="n">
        <v>0.023</v>
      </c>
      <c r="F14" s="19" t="n">
        <v>0.023</v>
      </c>
      <c r="G14" s="19" t="n">
        <v>0.023</v>
      </c>
      <c r="H14" s="19" t="n">
        <v>0.023</v>
      </c>
      <c r="I14" s="19" t="n">
        <v>0.023</v>
      </c>
    </row>
    <row r="15" customFormat="false" ht="15" hidden="false" customHeight="true" outlineLevel="0" collapsed="false">
      <c r="A15" s="6" t="s">
        <v>48</v>
      </c>
      <c r="C15" s="17" t="n">
        <f aca="false">'Income Statement'!C26/'Income Statement'!C25</f>
        <v>0.838616312724483</v>
      </c>
      <c r="D15" s="17" t="n">
        <f aca="false">'Income Statement'!D26/'Income Statement'!D25</f>
        <v>0.339058203647985</v>
      </c>
      <c r="E15" s="20" t="n">
        <v>0.3</v>
      </c>
      <c r="F15" s="20" t="n">
        <v>0.28</v>
      </c>
      <c r="G15" s="20" t="n">
        <v>0.27</v>
      </c>
      <c r="H15" s="20" t="n">
        <v>0.26</v>
      </c>
      <c r="I15" s="20" t="n">
        <v>0.25</v>
      </c>
      <c r="K15" s="18" t="s">
        <v>49</v>
      </c>
    </row>
    <row r="16" customFormat="false" ht="15" hidden="false" customHeight="true" outlineLevel="0" collapsed="false">
      <c r="A16" s="6" t="s">
        <v>50</v>
      </c>
      <c r="C16" s="17" t="n">
        <f aca="false">'Income Statement'!C22/('Balance Sheet'!B5+'Balance Sheet'!B6+'Balance Sheet'!B11)</f>
        <v>0.0482550388433634</v>
      </c>
      <c r="D16" s="17" t="n">
        <f aca="false">'Income Statement'!D22/('Balance Sheet'!C5+'Balance Sheet'!C6+'Balance Sheet'!C11)</f>
        <v>0.0297782036932024</v>
      </c>
      <c r="E16" s="19" t="n">
        <v>0.035</v>
      </c>
      <c r="F16" s="19" t="n">
        <v>0.035</v>
      </c>
      <c r="G16" s="19" t="n">
        <v>0.035</v>
      </c>
      <c r="H16" s="19" t="n">
        <v>0.035</v>
      </c>
      <c r="I16" s="19" t="n">
        <v>0.035</v>
      </c>
    </row>
    <row r="17" customFormat="false" ht="15" hidden="false" customHeight="true" outlineLevel="0" collapsed="false">
      <c r="A17" s="6" t="s">
        <v>51</v>
      </c>
      <c r="C17" s="17" t="n">
        <f aca="false">'Income Statement'!C29/'Income Statement'!B29-1</f>
        <v>0.0389357820237786</v>
      </c>
      <c r="D17" s="17" t="n">
        <f aca="false">'Income Statement'!D29/'Income Statement'!C29-1</f>
        <v>0.0265346687508443</v>
      </c>
      <c r="E17" s="19" t="n">
        <v>0.01</v>
      </c>
      <c r="F17" s="19" t="n">
        <v>0.01</v>
      </c>
      <c r="G17" s="19" t="n">
        <v>0.01</v>
      </c>
      <c r="H17" s="19" t="n">
        <v>0.01</v>
      </c>
      <c r="I17" s="19" t="n">
        <v>0.01</v>
      </c>
    </row>
    <row r="19" customFormat="false" ht="15" hidden="false" customHeight="true" outlineLevel="0" collapsed="false">
      <c r="A19" s="15" t="s">
        <v>52</v>
      </c>
    </row>
    <row r="20" customFormat="false" ht="15" hidden="false" customHeight="true" outlineLevel="0" collapsed="false">
      <c r="A20" s="6" t="s">
        <v>53</v>
      </c>
      <c r="B20" s="21" t="n">
        <f aca="false">'Balance Sheet'!B7/'Income Statement'!B7*365</f>
        <v>49.6655170189335</v>
      </c>
      <c r="C20" s="21" t="n">
        <f aca="false">'Balance Sheet'!C7/'Income Statement'!C7*365</f>
        <v>46.5121160719349</v>
      </c>
      <c r="D20" s="21" t="n">
        <f aca="false">'Balance Sheet'!D7/'Income Statement'!D7*365</f>
        <v>48.8582860734285</v>
      </c>
      <c r="E20" s="22" t="n">
        <v>49</v>
      </c>
      <c r="F20" s="22" t="n">
        <v>49</v>
      </c>
      <c r="G20" s="22" t="n">
        <v>48</v>
      </c>
      <c r="H20" s="22" t="n">
        <v>48</v>
      </c>
      <c r="I20" s="22" t="n">
        <v>47</v>
      </c>
    </row>
    <row r="21" customFormat="false" ht="15" hidden="false" customHeight="true" outlineLevel="0" collapsed="false">
      <c r="A21" s="6" t="s">
        <v>54</v>
      </c>
      <c r="B21" s="17" t="n">
        <f aca="false">'Balance Sheet'!B8/'Income Statement'!B7</f>
        <v>0.0457674992973095</v>
      </c>
      <c r="C21" s="17" t="n">
        <f aca="false">'Balance Sheet'!C8/'Income Statement'!C7</f>
        <v>0.0565901300188046</v>
      </c>
      <c r="D21" s="17" t="n">
        <f aca="false">'Balance Sheet'!D8/'Income Statement'!D7</f>
        <v>0.0722340420775495</v>
      </c>
      <c r="E21" s="19" t="n">
        <v>0.072</v>
      </c>
      <c r="F21" s="19" t="n">
        <v>0.072</v>
      </c>
      <c r="G21" s="19" t="n">
        <v>0.072</v>
      </c>
      <c r="H21" s="19" t="n">
        <v>0.072</v>
      </c>
      <c r="I21" s="19" t="n">
        <v>0.072</v>
      </c>
    </row>
    <row r="22" customFormat="false" ht="15" hidden="false" customHeight="true" outlineLevel="0" collapsed="false">
      <c r="A22" s="6" t="s">
        <v>55</v>
      </c>
      <c r="B22" s="17" t="n">
        <f aca="false">'Balance Sheet'!B15/'Income Statement'!B7</f>
        <v>0.0563046313063592</v>
      </c>
      <c r="C22" s="17" t="n">
        <f aca="false">'Balance Sheet'!C15/'Income Statement'!C7</f>
        <v>0.0612031848765177</v>
      </c>
      <c r="D22" s="17" t="n">
        <f aca="false">'Balance Sheet'!D15/'Income Statement'!D7</f>
        <v>0.069936888146839</v>
      </c>
      <c r="E22" s="19" t="n">
        <v>0.07</v>
      </c>
      <c r="F22" s="19" t="n">
        <v>0.07</v>
      </c>
      <c r="G22" s="19" t="n">
        <v>0.07</v>
      </c>
      <c r="H22" s="19" t="n">
        <v>0.07</v>
      </c>
      <c r="I22" s="19" t="n">
        <v>0.07</v>
      </c>
    </row>
    <row r="23" customFormat="false" ht="15" hidden="false" customHeight="true" outlineLevel="0" collapsed="false">
      <c r="A23" s="6" t="s">
        <v>56</v>
      </c>
      <c r="B23" s="17" t="n">
        <f aca="false">'Balance Sheet'!B9/'Income Statement'!B7</f>
        <v>0.040861567667943</v>
      </c>
      <c r="C23" s="17" t="n">
        <f aca="false">'Balance Sheet'!C9/'Income Statement'!C7</f>
        <v>0.0306697169180485</v>
      </c>
      <c r="D23" s="17" t="n">
        <f aca="false">'Balance Sheet'!D9/'Income Statement'!D7</f>
        <v>0.0321310933021979</v>
      </c>
      <c r="E23" s="19" t="n">
        <v>0.032</v>
      </c>
      <c r="F23" s="19" t="n">
        <v>0.032</v>
      </c>
      <c r="G23" s="19" t="n">
        <v>0.032</v>
      </c>
      <c r="H23" s="19" t="n">
        <v>0.032</v>
      </c>
      <c r="I23" s="19" t="n">
        <v>0.032</v>
      </c>
    </row>
    <row r="24" customFormat="false" ht="15" hidden="false" customHeight="true" outlineLevel="0" collapsed="false">
      <c r="A24" s="6" t="s">
        <v>57</v>
      </c>
      <c r="B24" s="17" t="n">
        <f aca="false">'Balance Sheet'!B16/'Income Statement'!B7</f>
        <v>0.0346723619155573</v>
      </c>
      <c r="C24" s="17" t="n">
        <f aca="false">'Balance Sheet'!C16/'Income Statement'!C7</f>
        <v>0.0438637921434587</v>
      </c>
      <c r="D24" s="17" t="n">
        <f aca="false">'Balance Sheet'!D16/'Income Statement'!D7</f>
        <v>0.0528865960285712</v>
      </c>
      <c r="E24" s="19" t="n">
        <v>0.053</v>
      </c>
      <c r="F24" s="19" t="n">
        <v>0.053</v>
      </c>
      <c r="G24" s="19" t="n">
        <v>0.053</v>
      </c>
      <c r="H24" s="19" t="n">
        <v>0.053</v>
      </c>
      <c r="I24" s="19" t="n">
        <v>0.053</v>
      </c>
    </row>
    <row r="25" customFormat="false" ht="15" hidden="false" customHeight="true" outlineLevel="0" collapsed="false">
      <c r="A25" s="6" t="s">
        <v>58</v>
      </c>
      <c r="B25" s="17" t="n">
        <f aca="false">'Balance Sheet'!B22/'Income Statement'!B7</f>
        <v>0.00419586864065099</v>
      </c>
      <c r="C25" s="17" t="n">
        <f aca="false">'Balance Sheet'!C22/'Income Statement'!C7</f>
        <v>0.00138874987012582</v>
      </c>
      <c r="D25" s="17" t="n">
        <f aca="false">'Balance Sheet'!D22/'Income Statement'!D7</f>
        <v>0.00790862226332736</v>
      </c>
      <c r="E25" s="19" t="n">
        <v>0.006</v>
      </c>
      <c r="F25" s="19" t="n">
        <v>0.006</v>
      </c>
      <c r="G25" s="19" t="n">
        <v>0.006</v>
      </c>
      <c r="H25" s="19" t="n">
        <v>0.006</v>
      </c>
      <c r="I25" s="19" t="n">
        <v>0.006</v>
      </c>
    </row>
    <row r="26" customFormat="false" ht="15" hidden="false" customHeight="true" outlineLevel="0" collapsed="false">
      <c r="A26" s="6" t="s">
        <v>59</v>
      </c>
      <c r="B26" s="17" t="n">
        <f aca="false">'Balance Sheet'!B23/'Income Statement'!B7</f>
        <v>0.0246342553554232</v>
      </c>
      <c r="C26" s="17" t="n">
        <f aca="false">'Balance Sheet'!C23/'Income Statement'!C7</f>
        <v>0.0256673249495822</v>
      </c>
      <c r="D26" s="17" t="n">
        <f aca="false">'Balance Sheet'!D23/'Income Statement'!D7</f>
        <v>0.0316788800440461</v>
      </c>
      <c r="E26" s="19" t="n">
        <v>0.032</v>
      </c>
      <c r="F26" s="19" t="n">
        <v>0.032</v>
      </c>
      <c r="G26" s="19" t="n">
        <v>0.032</v>
      </c>
      <c r="H26" s="19" t="n">
        <v>0.032</v>
      </c>
      <c r="I26" s="19" t="n">
        <v>0.032</v>
      </c>
    </row>
    <row r="27" customFormat="false" ht="15" hidden="false" customHeight="true" outlineLevel="0" collapsed="false">
      <c r="A27" s="6" t="s">
        <v>60</v>
      </c>
      <c r="B27" s="17" t="n">
        <f aca="false">'Balance Sheet'!B24/'Income Statement'!B7</f>
        <v>0.0360187629882547</v>
      </c>
      <c r="C27" s="17" t="n">
        <f aca="false">'Balance Sheet'!C24/'Income Statement'!C7</f>
        <v>0.038835901068032</v>
      </c>
      <c r="D27" s="17" t="n">
        <f aca="false">'Balance Sheet'!D24/'Income Statement'!D7</f>
        <v>0.0421564312964788</v>
      </c>
      <c r="E27" s="19" t="n">
        <v>0.042</v>
      </c>
      <c r="F27" s="19" t="n">
        <v>0.042</v>
      </c>
      <c r="G27" s="19" t="n">
        <v>0.042</v>
      </c>
      <c r="H27" s="19" t="n">
        <v>0.042</v>
      </c>
      <c r="I27" s="19" t="n">
        <v>0.042</v>
      </c>
    </row>
    <row r="28" customFormat="false" ht="15" hidden="false" customHeight="true" outlineLevel="0" collapsed="false">
      <c r="A28" s="6" t="s">
        <v>61</v>
      </c>
      <c r="B28" s="17" t="n">
        <f aca="false">'Balance Sheet'!B25/'Income Statement'!B7</f>
        <v>0.0433474792994291</v>
      </c>
      <c r="C28" s="17" t="n">
        <f aca="false">'Balance Sheet'!C25/'Income Statement'!C7</f>
        <v>0.047624339544586</v>
      </c>
      <c r="D28" s="17" t="n">
        <f aca="false">'Balance Sheet'!D25/'Income Statement'!D7</f>
        <v>0.0532886698223658</v>
      </c>
      <c r="E28" s="19" t="n">
        <v>0.052</v>
      </c>
      <c r="F28" s="19" t="n">
        <v>0.052</v>
      </c>
      <c r="G28" s="19" t="n">
        <v>0.052</v>
      </c>
      <c r="H28" s="19" t="n">
        <v>0.052</v>
      </c>
      <c r="I28" s="19" t="n">
        <v>0.052</v>
      </c>
    </row>
    <row r="29" customFormat="false" ht="15" hidden="false" customHeight="true" outlineLevel="0" collapsed="false">
      <c r="A29" s="6" t="s">
        <v>62</v>
      </c>
      <c r="B29" s="17" t="n">
        <f aca="false">'Balance Sheet'!B28/'Income Statement'!B7</f>
        <v>0.309713716979306</v>
      </c>
      <c r="C29" s="17" t="n">
        <f aca="false">'Balance Sheet'!C28/'Income Statement'!C7</f>
        <v>0.298473897477606</v>
      </c>
      <c r="D29" s="17" t="n">
        <f aca="false">'Balance Sheet'!D28/'Income Statement'!D7</f>
        <v>0.32093887903487</v>
      </c>
      <c r="E29" s="20" t="n">
        <v>0.325</v>
      </c>
      <c r="F29" s="20" t="n">
        <v>0.328</v>
      </c>
      <c r="G29" s="20" t="n">
        <v>0.33</v>
      </c>
      <c r="H29" s="20" t="n">
        <v>0.332</v>
      </c>
      <c r="I29" s="20" t="n">
        <v>0.334</v>
      </c>
      <c r="K29" s="18" t="s">
        <v>63</v>
      </c>
    </row>
    <row r="30" customFormat="false" ht="15" hidden="false" customHeight="true" outlineLevel="0" collapsed="false">
      <c r="A30" s="6" t="s">
        <v>64</v>
      </c>
      <c r="B30" s="17" t="n">
        <f aca="false">'Balance Sheet'!B31/'Income Statement'!B7</f>
        <v>0.00267713560313884</v>
      </c>
      <c r="C30" s="17" t="n">
        <f aca="false">'Balance Sheet'!C31/'Income Statement'!C7</f>
        <v>0.00151053664963808</v>
      </c>
      <c r="D30" s="17" t="n">
        <f aca="false">'Balance Sheet'!D31/'Income Statement'!D7</f>
        <v>0.0027129601892653</v>
      </c>
      <c r="E30" s="19" t="n">
        <v>0.003</v>
      </c>
      <c r="F30" s="19" t="n">
        <v>0.003</v>
      </c>
      <c r="G30" s="19" t="n">
        <v>0.003</v>
      </c>
      <c r="H30" s="19" t="n">
        <v>0.003</v>
      </c>
      <c r="I30" s="19" t="n">
        <v>0.003</v>
      </c>
    </row>
    <row r="31" customFormat="false" ht="15" hidden="false" customHeight="true" outlineLevel="0" collapsed="false">
      <c r="A31" s="6" t="s">
        <v>65</v>
      </c>
      <c r="B31" s="17" t="n">
        <f aca="false">-'Cash Flow'!B19/'Income Statement'!B7</f>
        <v>0.015536602111297</v>
      </c>
      <c r="C31" s="17" t="n">
        <f aca="false">-'Cash Flow'!C19/'Income Statement'!C7</f>
        <v>0.0144389644622372</v>
      </c>
      <c r="D31" s="17" t="n">
        <f aca="false">-'Cash Flow'!D19/'Income Statement'!D7</f>
        <v>0.0169787555576562</v>
      </c>
      <c r="E31" s="19" t="n">
        <v>0.017</v>
      </c>
      <c r="F31" s="19" t="n">
        <v>0.017</v>
      </c>
      <c r="G31" s="19" t="n">
        <v>0.017</v>
      </c>
      <c r="H31" s="19" t="n">
        <v>0.017</v>
      </c>
      <c r="I31" s="19" t="n">
        <v>0.017</v>
      </c>
    </row>
    <row r="32" customFormat="false" ht="15" hidden="false" customHeight="true" outlineLevel="0" collapsed="false">
      <c r="A32" s="6" t="s">
        <v>66</v>
      </c>
      <c r="B32" s="17" t="n">
        <f aca="false">-'Cash Flow'!B20/'Income Statement'!B7</f>
        <v>0.0305829336061155</v>
      </c>
      <c r="C32" s="17" t="n">
        <f aca="false">-'Cash Flow'!C20/'Income Statement'!C7</f>
        <v>0.0341139992761298</v>
      </c>
      <c r="D32" s="17" t="n">
        <f aca="false">-'Cash Flow'!D20/'Income Statement'!D7</f>
        <v>0.0417160343452137</v>
      </c>
      <c r="E32" s="19" t="n">
        <v>0.042</v>
      </c>
      <c r="F32" s="19" t="n">
        <v>0.042</v>
      </c>
      <c r="G32" s="19" t="n">
        <v>0.042</v>
      </c>
      <c r="H32" s="19" t="n">
        <v>0.042</v>
      </c>
      <c r="I32" s="19" t="n">
        <v>0.042</v>
      </c>
    </row>
    <row r="34" customFormat="false" ht="15" hidden="false" customHeight="true" outlineLevel="0" collapsed="false">
      <c r="A34" s="15" t="s">
        <v>67</v>
      </c>
    </row>
    <row r="35" customFormat="false" ht="15" hidden="false" customHeight="true" outlineLevel="0" collapsed="false">
      <c r="A35" s="6" t="s">
        <v>68</v>
      </c>
      <c r="B35" s="23" t="n">
        <f aca="false">-'Cash Flow'!B28</f>
        <v>-0</v>
      </c>
      <c r="C35" s="23" t="n">
        <f aca="false">-'Cash Flow'!C28</f>
        <v>-0</v>
      </c>
      <c r="D35" s="23" t="n">
        <f aca="false">-'Cash Flow'!D28</f>
        <v>500019</v>
      </c>
      <c r="E35" s="24" t="n">
        <v>450000</v>
      </c>
      <c r="F35" s="24" t="n">
        <v>450000</v>
      </c>
      <c r="G35" s="24" t="n">
        <v>500000</v>
      </c>
      <c r="H35" s="24" t="n">
        <v>500000</v>
      </c>
      <c r="I35" s="24" t="n">
        <v>550000</v>
      </c>
      <c r="K35" s="18" t="s">
        <v>69</v>
      </c>
    </row>
    <row r="36" customFormat="false" ht="15" hidden="false" customHeight="true" outlineLevel="0" collapsed="false">
      <c r="A36" s="6" t="s">
        <v>70</v>
      </c>
      <c r="B36" s="23" t="n">
        <f aca="false">'Cash Flow'!B27</f>
        <v>47738</v>
      </c>
      <c r="C36" s="23" t="n">
        <f aca="false">'Cash Flow'!C27</f>
        <v>75501</v>
      </c>
      <c r="D36" s="23" t="n">
        <f aca="false">'Cash Flow'!D27</f>
        <v>71394</v>
      </c>
      <c r="E36" s="24" t="n">
        <v>75000</v>
      </c>
      <c r="F36" s="24" t="n">
        <v>75000</v>
      </c>
      <c r="G36" s="24" t="n">
        <v>75000</v>
      </c>
      <c r="H36" s="24" t="n">
        <v>75000</v>
      </c>
      <c r="I36" s="24" t="n">
        <v>75000</v>
      </c>
    </row>
    <row r="37" customFormat="false" ht="15" hidden="false" customHeight="true" outlineLevel="0" collapsed="false">
      <c r="A37" s="6" t="s">
        <v>71</v>
      </c>
      <c r="B37" s="23" t="n">
        <f aca="false">-'Cash Flow'!B30</f>
        <v>10714</v>
      </c>
      <c r="C37" s="23" t="n">
        <f aca="false">-'Cash Flow'!C30</f>
        <v>21949</v>
      </c>
      <c r="D37" s="23" t="n">
        <f aca="false">-'Cash Flow'!D30</f>
        <v>21573</v>
      </c>
      <c r="E37" s="24" t="n">
        <v>25000</v>
      </c>
      <c r="F37" s="24" t="n">
        <v>25000</v>
      </c>
      <c r="G37" s="24" t="n">
        <v>25000</v>
      </c>
      <c r="H37" s="24" t="n">
        <v>25000</v>
      </c>
      <c r="I37" s="24" t="n">
        <v>25000</v>
      </c>
    </row>
    <row r="39" customFormat="false" ht="15" hidden="false" customHeight="true" outlineLevel="0" collapsed="false">
      <c r="A39" s="16" t="s">
        <v>72</v>
      </c>
    </row>
    <row r="40" customFormat="false" ht="15" hidden="false" customHeight="true" outlineLevel="0" collapsed="false">
      <c r="A40" s="16" t="s">
        <v>73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9" min="2" style="1" width="13.5"/>
    <col collapsed="false" customWidth="true" hidden="false" outlineLevel="0" max="10" min="10" style="1" width="2"/>
    <col collapsed="false" customWidth="true" hidden="false" outlineLevel="0" max="11" min="11" style="1" width="60"/>
  </cols>
  <sheetData>
    <row r="1" customFormat="false" ht="15" hidden="false" customHeight="true" outlineLevel="0" collapsed="false">
      <c r="A1" s="12" t="s">
        <v>74</v>
      </c>
    </row>
    <row r="2" customFormat="false" ht="15" hidden="false" customHeight="true" outlineLevel="0" collapsed="false">
      <c r="A2" s="11" t="s">
        <v>75</v>
      </c>
    </row>
    <row r="3" customFormat="false" ht="15" hidden="false" customHeight="true" outlineLevel="0" collapsed="false">
      <c r="A3" s="13"/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4" t="s">
        <v>32</v>
      </c>
      <c r="I3" s="14" t="s">
        <v>33</v>
      </c>
    </row>
    <row r="4" customFormat="false" ht="15" hidden="false" customHeight="true" outlineLevel="0" collapsed="false">
      <c r="A4" s="15" t="s">
        <v>76</v>
      </c>
    </row>
    <row r="5" customFormat="false" ht="15" hidden="false" customHeight="true" outlineLevel="0" collapsed="false">
      <c r="A5" s="6" t="s">
        <v>77</v>
      </c>
      <c r="C5" s="25" t="n">
        <f aca="false">B8</f>
        <v>205091</v>
      </c>
      <c r="D5" s="25" t="n">
        <f aca="false">C8</f>
        <v>247939</v>
      </c>
      <c r="E5" s="25" t="n">
        <f aca="false">D8</f>
        <v>288706</v>
      </c>
      <c r="F5" s="25" t="n">
        <f aca="false">E8</f>
        <v>339694.010526316</v>
      </c>
      <c r="G5" s="25" t="n">
        <f aca="false">F8</f>
        <v>394330.172332456</v>
      </c>
      <c r="H5" s="25" t="n">
        <f aca="false">G8</f>
        <v>455066.62616493</v>
      </c>
      <c r="I5" s="25" t="n">
        <f aca="false">H8</f>
        <v>520425.930423819</v>
      </c>
    </row>
    <row r="6" customFormat="false" ht="15" hidden="false" customHeight="true" outlineLevel="0" collapsed="false">
      <c r="A6" s="6" t="s">
        <v>78</v>
      </c>
      <c r="E6" s="25" t="n">
        <f aca="false">E15/E13</f>
        <v>79858.6105263158</v>
      </c>
      <c r="F6" s="25" t="n">
        <f aca="false">F15/F13</f>
        <v>88605.5628587719</v>
      </c>
      <c r="G6" s="25" t="n">
        <f aca="false">G15/G13</f>
        <v>98197.8202040573</v>
      </c>
      <c r="H6" s="25" t="n">
        <f aca="false">H15/H13</f>
        <v>108590.633744557</v>
      </c>
      <c r="I6" s="25" t="n">
        <f aca="false">I15/I13</f>
        <v>119818.318869154</v>
      </c>
    </row>
    <row r="7" customFormat="false" ht="15" hidden="false" customHeight="true" outlineLevel="0" collapsed="false">
      <c r="A7" s="6" t="s">
        <v>79</v>
      </c>
      <c r="E7" s="25" t="n">
        <f aca="false">E5*E12</f>
        <v>28870.6</v>
      </c>
      <c r="F7" s="25" t="n">
        <f aca="false">F5*F12</f>
        <v>33969.4010526316</v>
      </c>
      <c r="G7" s="25" t="n">
        <f aca="false">G5*G12</f>
        <v>37461.3663715833</v>
      </c>
      <c r="H7" s="25" t="n">
        <f aca="false">H5*H12</f>
        <v>43231.3294856684</v>
      </c>
      <c r="I7" s="25" t="n">
        <f aca="false">I5*I12</f>
        <v>46838.3337381437</v>
      </c>
    </row>
    <row r="8" customFormat="false" ht="15" hidden="false" customHeight="true" outlineLevel="0" collapsed="false">
      <c r="A8" s="15" t="s">
        <v>80</v>
      </c>
      <c r="B8" s="26" t="n">
        <v>205091</v>
      </c>
      <c r="C8" s="26" t="n">
        <v>247939</v>
      </c>
      <c r="D8" s="26" t="n">
        <v>288706</v>
      </c>
      <c r="E8" s="27" t="n">
        <f aca="false">E5+E6-E7</f>
        <v>339694.010526316</v>
      </c>
      <c r="F8" s="27" t="n">
        <f aca="false">F5+F6-F7</f>
        <v>394330.172332456</v>
      </c>
      <c r="G8" s="27" t="n">
        <f aca="false">G5+G6-G7</f>
        <v>455066.62616493</v>
      </c>
      <c r="H8" s="27" t="n">
        <f aca="false">H5+H6-H7</f>
        <v>520425.930423819</v>
      </c>
      <c r="I8" s="27" t="n">
        <f aca="false">I5+I6-I7</f>
        <v>593405.915554829</v>
      </c>
    </row>
    <row r="9" customFormat="false" ht="15" hidden="false" customHeight="true" outlineLevel="0" collapsed="false">
      <c r="A9" s="6" t="s">
        <v>81</v>
      </c>
      <c r="B9" s="25" t="n">
        <f aca="false">B8</f>
        <v>205091</v>
      </c>
      <c r="C9" s="25" t="n">
        <f aca="false">(C5+C8)/2</f>
        <v>226515</v>
      </c>
      <c r="D9" s="25" t="n">
        <f aca="false">(D5+D8)/2</f>
        <v>268322.5</v>
      </c>
      <c r="E9" s="25" t="n">
        <f aca="false">(E5+E8)/2</f>
        <v>314200.005263158</v>
      </c>
      <c r="F9" s="25" t="n">
        <f aca="false">(F5+F8)/2</f>
        <v>367012.091429386</v>
      </c>
      <c r="G9" s="25" t="n">
        <f aca="false">(G5+G8)/2</f>
        <v>424698.399248693</v>
      </c>
      <c r="H9" s="25" t="n">
        <f aca="false">(H5+H8)/2</f>
        <v>487746.278294374</v>
      </c>
      <c r="I9" s="25" t="n">
        <f aca="false">(I5+I8)/2</f>
        <v>556915.922989324</v>
      </c>
    </row>
    <row r="11" customFormat="false" ht="15" hidden="false" customHeight="true" outlineLevel="0" collapsed="false">
      <c r="A11" s="15" t="s">
        <v>82</v>
      </c>
    </row>
    <row r="12" customFormat="false" ht="15" hidden="false" customHeight="true" outlineLevel="0" collapsed="false">
      <c r="A12" s="6" t="s">
        <v>83</v>
      </c>
      <c r="E12" s="20" t="n">
        <v>0.1</v>
      </c>
      <c r="F12" s="20" t="n">
        <v>0.1</v>
      </c>
      <c r="G12" s="20" t="n">
        <v>0.095</v>
      </c>
      <c r="H12" s="20" t="n">
        <v>0.095</v>
      </c>
      <c r="I12" s="20" t="n">
        <v>0.09</v>
      </c>
    </row>
    <row r="13" customFormat="false" ht="15" hidden="false" customHeight="true" outlineLevel="0" collapsed="false">
      <c r="A13" s="6" t="s">
        <v>84</v>
      </c>
      <c r="E13" s="28" t="n">
        <v>9.5</v>
      </c>
      <c r="F13" s="28" t="n">
        <v>9.9</v>
      </c>
      <c r="G13" s="28" t="n">
        <v>10.3</v>
      </c>
      <c r="H13" s="28" t="n">
        <v>10.7</v>
      </c>
      <c r="I13" s="28" t="n">
        <v>11.1</v>
      </c>
    </row>
    <row r="14" customFormat="false" ht="15" hidden="false" customHeight="true" outlineLevel="0" collapsed="false">
      <c r="A14" s="6" t="s">
        <v>85</v>
      </c>
      <c r="E14" s="19" t="n">
        <v>0.55</v>
      </c>
      <c r="F14" s="19" t="n">
        <v>0.55</v>
      </c>
      <c r="G14" s="19" t="n">
        <v>0.55</v>
      </c>
      <c r="H14" s="19" t="n">
        <v>0.55</v>
      </c>
      <c r="I14" s="19" t="n">
        <v>0.55</v>
      </c>
    </row>
    <row r="15" customFormat="false" ht="15" hidden="false" customHeight="true" outlineLevel="0" collapsed="false">
      <c r="A15" s="6" t="s">
        <v>86</v>
      </c>
      <c r="E15" s="23" t="n">
        <f aca="false">'Income Statement'!D16*E14</f>
        <v>758656.8</v>
      </c>
      <c r="F15" s="23" t="n">
        <f aca="false">'Income Statement'!E16*F14</f>
        <v>877195.072301842</v>
      </c>
      <c r="G15" s="23" t="n">
        <f aca="false">'Income Statement'!F16*G14</f>
        <v>1011437.54810179</v>
      </c>
      <c r="H15" s="23" t="n">
        <f aca="false">'Income Statement'!G16*H14</f>
        <v>1161919.78106676</v>
      </c>
      <c r="I15" s="23" t="n">
        <f aca="false">'Income Statement'!H16*I14</f>
        <v>1329983.33944761</v>
      </c>
    </row>
    <row r="16" customFormat="false" ht="15" hidden="false" customHeight="true" outlineLevel="0" collapsed="false">
      <c r="A16" s="6" t="s">
        <v>87</v>
      </c>
      <c r="E16" s="28" t="n">
        <v>6</v>
      </c>
      <c r="F16" s="28" t="n">
        <v>6.2</v>
      </c>
      <c r="G16" s="28" t="n">
        <v>6.4</v>
      </c>
      <c r="H16" s="28" t="n">
        <v>6.6</v>
      </c>
      <c r="I16" s="28" t="n">
        <v>6.8</v>
      </c>
    </row>
    <row r="17" customFormat="false" ht="15" hidden="false" customHeight="true" outlineLevel="0" collapsed="false">
      <c r="A17" s="6" t="s">
        <v>88</v>
      </c>
      <c r="C17" s="29" t="n">
        <v>1.018</v>
      </c>
      <c r="D17" s="29" t="n">
        <v>1.035</v>
      </c>
      <c r="E17" s="30" t="n">
        <v>1.03</v>
      </c>
      <c r="F17" s="30" t="n">
        <v>1.031</v>
      </c>
      <c r="G17" s="30" t="n">
        <v>1.032</v>
      </c>
      <c r="H17" s="30" t="n">
        <v>1.033</v>
      </c>
      <c r="I17" s="30" t="n">
        <v>1.034</v>
      </c>
    </row>
    <row r="19" customFormat="false" ht="15" hidden="false" customHeight="true" outlineLevel="0" collapsed="false">
      <c r="A19" s="15" t="s">
        <v>89</v>
      </c>
    </row>
    <row r="20" customFormat="false" ht="15" hidden="false" customHeight="true" outlineLevel="0" collapsed="false">
      <c r="A20" s="6" t="s">
        <v>90</v>
      </c>
      <c r="E20" s="23" t="n">
        <f aca="false">D22*E17</f>
        <v>3155834.51</v>
      </c>
      <c r="F20" s="23" t="n">
        <f aca="false">E22*F17</f>
        <v>3747670.74452579</v>
      </c>
      <c r="G20" s="23" t="n">
        <f aca="false">F22*G17</f>
        <v>4434530.04174618</v>
      </c>
      <c r="H20" s="23" t="n">
        <f aca="false">G22*H17</f>
        <v>5230074.96205687</v>
      </c>
      <c r="I20" s="23" t="n">
        <f aca="false">H22*I17</f>
        <v>6148963.43169316</v>
      </c>
    </row>
    <row r="21" customFormat="false" ht="15" hidden="false" customHeight="true" outlineLevel="0" collapsed="false">
      <c r="A21" s="6" t="s">
        <v>91</v>
      </c>
      <c r="E21" s="23" t="n">
        <f aca="false">E6*E16</f>
        <v>479151.663157895</v>
      </c>
      <c r="F21" s="23" t="n">
        <f aca="false">F6*F16</f>
        <v>549354.489724386</v>
      </c>
      <c r="G21" s="23" t="n">
        <f aca="false">G6*G16</f>
        <v>628466.049305967</v>
      </c>
      <c r="H21" s="23" t="n">
        <f aca="false">H6*H16</f>
        <v>716698.182714076</v>
      </c>
      <c r="I21" s="23" t="n">
        <f aca="false">I6*I16</f>
        <v>814764.568310246</v>
      </c>
    </row>
    <row r="22" customFormat="false" ht="15" hidden="false" customHeight="true" outlineLevel="0" collapsed="false">
      <c r="A22" s="15" t="s">
        <v>92</v>
      </c>
      <c r="B22" s="31" t="n">
        <v>2123479</v>
      </c>
      <c r="C22" s="31" t="n">
        <v>2569546</v>
      </c>
      <c r="D22" s="31" t="n">
        <v>3063917</v>
      </c>
      <c r="E22" s="32" t="n">
        <f aca="false">E20+E21</f>
        <v>3634986.1731579</v>
      </c>
      <c r="F22" s="32" t="n">
        <f aca="false">F20+F21</f>
        <v>4297025.23425018</v>
      </c>
      <c r="G22" s="32" t="n">
        <f aca="false">G20+G21</f>
        <v>5062996.09105215</v>
      </c>
      <c r="H22" s="32" t="n">
        <f aca="false">H20+H21</f>
        <v>5946773.14477094</v>
      </c>
      <c r="I22" s="32" t="n">
        <f aca="false">I20+I21</f>
        <v>6963728.0000034</v>
      </c>
    </row>
    <row r="23" customFormat="false" ht="15" hidden="false" customHeight="true" outlineLevel="0" collapsed="false">
      <c r="A23" s="16" t="s">
        <v>93</v>
      </c>
      <c r="B23" s="33" t="n">
        <f aca="false">B22-'Income Statement'!B5</f>
        <v>0</v>
      </c>
      <c r="C23" s="33" t="n">
        <f aca="false">C22-'Income Statement'!C5</f>
        <v>0</v>
      </c>
      <c r="D23" s="33" t="n">
        <f aca="false">D22-'Income Statement'!D5</f>
        <v>0</v>
      </c>
      <c r="E23" s="33" t="n">
        <f aca="false">E22*'Regional Breakdown'!E41-'Income Statement'!E5</f>
        <v>0</v>
      </c>
      <c r="F23" s="33" t="n">
        <f aca="false">F22*'Regional Breakdown'!F41-'Income Statement'!F5</f>
        <v>0</v>
      </c>
      <c r="G23" s="33" t="n">
        <f aca="false">G22*'Regional Breakdown'!G41-'Income Statement'!G5</f>
        <v>0</v>
      </c>
      <c r="H23" s="33" t="n">
        <f aca="false">H22*'Regional Breakdown'!H41-'Income Statement'!H5</f>
        <v>0</v>
      </c>
      <c r="I23" s="33" t="n">
        <f aca="false">I22*'Regional Breakdown'!I41-'Income Statement'!I5</f>
        <v>0</v>
      </c>
    </row>
    <row r="25" customFormat="false" ht="15" hidden="false" customHeight="true" outlineLevel="0" collapsed="false">
      <c r="A25" s="15" t="s">
        <v>94</v>
      </c>
    </row>
    <row r="26" customFormat="false" ht="15" hidden="false" customHeight="true" outlineLevel="0" collapsed="false">
      <c r="A26" s="6" t="s">
        <v>95</v>
      </c>
      <c r="B26" s="25" t="n">
        <f aca="false">B22/B9*1000</f>
        <v>10353.8380523768</v>
      </c>
      <c r="C26" s="25" t="n">
        <f aca="false">C22/C9*1000</f>
        <v>11343.8227048981</v>
      </c>
      <c r="D26" s="25" t="n">
        <f aca="false">D22/D9*1000</f>
        <v>11418.7852304596</v>
      </c>
      <c r="E26" s="25" t="n">
        <f aca="false">E22/E9*1000</f>
        <v>11569.0200899692</v>
      </c>
      <c r="F26" s="25" t="n">
        <f aca="false">F22/F9*1000</f>
        <v>11708.1298807207</v>
      </c>
      <c r="G26" s="25" t="n">
        <f aca="false">G22/G9*1000</f>
        <v>11921.3919807769</v>
      </c>
      <c r="H26" s="25" t="n">
        <f aca="false">H22/H9*1000</f>
        <v>12192.3496076003</v>
      </c>
      <c r="I26" s="25" t="n">
        <f aca="false">I22/I9*1000</f>
        <v>12504.0921125484</v>
      </c>
    </row>
    <row r="27" customFormat="false" ht="15" hidden="false" customHeight="true" outlineLevel="0" collapsed="false">
      <c r="A27" s="6" t="s">
        <v>96</v>
      </c>
      <c r="B27" s="23" t="n">
        <f aca="false">B22/12</f>
        <v>176956.583333333</v>
      </c>
      <c r="C27" s="23" t="n">
        <f aca="false">C22/12</f>
        <v>214128.833333333</v>
      </c>
      <c r="D27" s="23" t="n">
        <f aca="false">D22/12</f>
        <v>255326.416666667</v>
      </c>
      <c r="E27" s="23" t="n">
        <f aca="false">E22/12</f>
        <v>302915.514429825</v>
      </c>
      <c r="F27" s="23" t="n">
        <f aca="false">F22/12</f>
        <v>358085.436187515</v>
      </c>
      <c r="G27" s="23" t="n">
        <f aca="false">G22/12</f>
        <v>421916.340921012</v>
      </c>
      <c r="H27" s="23" t="n">
        <f aca="false">H22/12</f>
        <v>495564.428730912</v>
      </c>
      <c r="I27" s="23" t="n">
        <f aca="false">I22/12</f>
        <v>580310.66666695</v>
      </c>
    </row>
    <row r="28" customFormat="false" ht="15" hidden="false" customHeight="true" outlineLevel="0" collapsed="false">
      <c r="A28" s="6" t="s">
        <v>97</v>
      </c>
      <c r="E28" s="34" t="n">
        <f aca="false">E13/(E16*(1-Assumptions!E7))*12</f>
        <v>22.2222222222222</v>
      </c>
      <c r="F28" s="34" t="n">
        <f aca="false">F13/(F16*(1-Assumptions!F7))*12</f>
        <v>22.3585651372003</v>
      </c>
      <c r="G28" s="34" t="n">
        <f aca="false">G13/(G16*(1-Assumptions!G7))*12</f>
        <v>22.4825378346915</v>
      </c>
      <c r="H28" s="34" t="n">
        <f aca="false">H13/(H16*(1-Assumptions!H7))*12</f>
        <v>22.5952908879738</v>
      </c>
      <c r="I28" s="34" t="n">
        <f aca="false">I13/(I16*(1-Assumptions!I7))*12</f>
        <v>22.6978392747597</v>
      </c>
    </row>
    <row r="29" customFormat="false" ht="15" hidden="false" customHeight="true" outlineLevel="0" collapsed="false">
      <c r="A29" s="6" t="s">
        <v>98</v>
      </c>
      <c r="E29" s="35" t="n">
        <f aca="false">(E26/1000*(1-Assumptions!E7)/E12)/E13</f>
        <v>10.4121180809723</v>
      </c>
      <c r="F29" s="35" t="n">
        <f aca="false">(F26/1000*(1-Assumptions!F7)/F12)/F13</f>
        <v>10.1352195028057</v>
      </c>
      <c r="G29" s="35" t="n">
        <f aca="false">(G26/1000*(1-Assumptions!G7)/G12)/G13</f>
        <v>10.4654836090826</v>
      </c>
      <c r="H29" s="35" t="n">
        <f aca="false">(H26/1000*(1-Assumptions!H7)/H12)/H13</f>
        <v>10.32721398145</v>
      </c>
      <c r="I29" s="35" t="n">
        <f aca="false">(I26/1000*(1-Assumptions!I7)/I12)/I13</f>
        <v>10.8018333264557</v>
      </c>
    </row>
    <row r="31" customFormat="false" ht="15" hidden="false" customHeight="true" outlineLevel="0" collapsed="false">
      <c r="A31" s="16" t="s">
        <v>99</v>
      </c>
    </row>
    <row r="32" customFormat="false" ht="15" hidden="false" customHeight="true" outlineLevel="0" collapsed="false">
      <c r="A32" s="16" t="s">
        <v>100</v>
      </c>
    </row>
    <row r="33" customFormat="false" ht="15" hidden="false" customHeight="true" outlineLevel="0" collapsed="false">
      <c r="A33" s="16" t="s">
        <v>101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9" min="2" style="1" width="13.5"/>
    <col collapsed="false" customWidth="true" hidden="false" outlineLevel="0" max="10" min="10" style="1" width="2"/>
    <col collapsed="false" customWidth="true" hidden="false" outlineLevel="0" max="11" min="11" style="1" width="60"/>
  </cols>
  <sheetData>
    <row r="1" customFormat="false" ht="15" hidden="false" customHeight="true" outlineLevel="0" collapsed="false">
      <c r="A1" s="12" t="s">
        <v>102</v>
      </c>
    </row>
    <row r="2" customFormat="false" ht="15" hidden="false" customHeight="true" outlineLevel="0" collapsed="false">
      <c r="A2" s="11" t="s">
        <v>103</v>
      </c>
    </row>
    <row r="3" customFormat="false" ht="15" hidden="false" customHeight="true" outlineLevel="0" collapsed="false">
      <c r="A3" s="13"/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4" t="s">
        <v>32</v>
      </c>
      <c r="I3" s="14" t="s">
        <v>33</v>
      </c>
    </row>
    <row r="4" customFormat="false" ht="15" hidden="false" customHeight="true" outlineLevel="0" collapsed="false">
      <c r="A4" s="15" t="s">
        <v>104</v>
      </c>
      <c r="B4" s="36" t="n">
        <v>1</v>
      </c>
      <c r="C4" s="37" t="str">
        <f aca="false">CHOOSE(B4,"STANDARD CASE","BEST CASE","LOW CASE")</f>
        <v>STANDARD CASE</v>
      </c>
    </row>
    <row r="6" customFormat="false" ht="15" hidden="false" customHeight="true" outlineLevel="0" collapsed="false">
      <c r="A6" s="15" t="s">
        <v>105</v>
      </c>
    </row>
    <row r="7" customFormat="false" ht="15" hidden="false" customHeight="true" outlineLevel="0" collapsed="false">
      <c r="A7" s="6" t="s">
        <v>106</v>
      </c>
      <c r="B7" s="19" t="n">
        <v>0.609</v>
      </c>
      <c r="C7" s="19" t="n">
        <v>0.605</v>
      </c>
      <c r="D7" s="19" t="n">
        <v>0.598</v>
      </c>
      <c r="E7" s="20" t="n">
        <v>0.595</v>
      </c>
      <c r="F7" s="20" t="n">
        <v>0.592</v>
      </c>
      <c r="G7" s="20" t="n">
        <v>0.589</v>
      </c>
      <c r="H7" s="20" t="n">
        <v>0.586</v>
      </c>
      <c r="I7" s="20" t="n">
        <v>0.583</v>
      </c>
    </row>
    <row r="8" customFormat="false" ht="15" hidden="false" customHeight="true" outlineLevel="0" collapsed="false">
      <c r="A8" s="6" t="s">
        <v>107</v>
      </c>
      <c r="B8" s="19" t="n">
        <v>0.308</v>
      </c>
      <c r="C8" s="19" t="n">
        <v>0.314</v>
      </c>
      <c r="D8" s="19" t="n">
        <v>0.323</v>
      </c>
      <c r="E8" s="20" t="n">
        <v>0.325</v>
      </c>
      <c r="F8" s="20" t="n">
        <v>0.327</v>
      </c>
      <c r="G8" s="20" t="n">
        <v>0.329</v>
      </c>
      <c r="H8" s="20" t="n">
        <v>0.331</v>
      </c>
      <c r="I8" s="20" t="n">
        <v>0.333</v>
      </c>
    </row>
    <row r="9" customFormat="false" ht="15" hidden="false" customHeight="true" outlineLevel="0" collapsed="false">
      <c r="A9" s="6" t="s">
        <v>108</v>
      </c>
      <c r="B9" s="19" t="n">
        <v>0.083</v>
      </c>
      <c r="C9" s="19" t="n">
        <v>0.081</v>
      </c>
      <c r="D9" s="19" t="n">
        <v>0.079</v>
      </c>
      <c r="E9" s="20" t="n">
        <v>0.08</v>
      </c>
      <c r="F9" s="20" t="n">
        <v>0.081</v>
      </c>
      <c r="G9" s="20" t="n">
        <v>0.082</v>
      </c>
      <c r="H9" s="20" t="n">
        <v>0.083</v>
      </c>
      <c r="I9" s="20" t="n">
        <v>0.084</v>
      </c>
    </row>
    <row r="10" customFormat="false" ht="15" hidden="false" customHeight="true" outlineLevel="0" collapsed="false">
      <c r="A10" s="6" t="s">
        <v>109</v>
      </c>
      <c r="B10" s="17" t="n">
        <f aca="false">1-B7-B8-B9</f>
        <v>0</v>
      </c>
      <c r="C10" s="17" t="n">
        <f aca="false">1-C7-C8-C9</f>
        <v>0</v>
      </c>
      <c r="D10" s="17" t="n">
        <f aca="false">1-D7-D8-D9</f>
        <v>0</v>
      </c>
      <c r="E10" s="17" t="n">
        <f aca="false">1-E7-E8-E9</f>
        <v>0</v>
      </c>
      <c r="F10" s="17" t="n">
        <f aca="false">1-F7-F8-F9</f>
        <v>0</v>
      </c>
      <c r="G10" s="17" t="n">
        <f aca="false">1-G7-G8-G9</f>
        <v>0</v>
      </c>
      <c r="H10" s="17" t="n">
        <f aca="false">1-H7-H8-H9</f>
        <v>0</v>
      </c>
      <c r="I10" s="17" t="n">
        <f aca="false">1-I7-I8-I9</f>
        <v>0</v>
      </c>
    </row>
    <row r="12" customFormat="false" ht="15" hidden="false" customHeight="true" outlineLevel="0" collapsed="false">
      <c r="A12" s="15" t="s">
        <v>110</v>
      </c>
    </row>
    <row r="13" customFormat="false" ht="15" hidden="false" customHeight="true" outlineLevel="0" collapsed="false">
      <c r="A13" s="16" t="s">
        <v>111</v>
      </c>
      <c r="B13" s="38" t="n">
        <f aca="false">'Income Statement'!B6</f>
        <v>46751</v>
      </c>
      <c r="C13" s="38" t="n">
        <f aca="false">'Income Statement'!C6</f>
        <v>57997</v>
      </c>
      <c r="D13" s="38" t="n">
        <f aca="false">'Income Statement'!D6</f>
        <v>67349</v>
      </c>
      <c r="E13" s="23" t="n">
        <f aca="false">D13*(1+Assumptions!E6)</f>
        <v>74083.9</v>
      </c>
      <c r="F13" s="23" t="n">
        <f aca="false">E13*(1+Assumptions!F6)</f>
        <v>81492.29</v>
      </c>
      <c r="G13" s="23" t="n">
        <f aca="false">F13*(1+Assumptions!G6)</f>
        <v>89641.519</v>
      </c>
      <c r="H13" s="23" t="n">
        <f aca="false">G13*(1+Assumptions!H6)</f>
        <v>98605.6709</v>
      </c>
      <c r="I13" s="23" t="n">
        <f aca="false">H13*(1+Assumptions!I6)</f>
        <v>108466.23799</v>
      </c>
    </row>
    <row r="14" customFormat="false" ht="15" hidden="false" customHeight="true" outlineLevel="0" collapsed="false">
      <c r="A14" s="6" t="s">
        <v>112</v>
      </c>
      <c r="B14" s="23" t="n">
        <f aca="false">'Revenue Drivers'!B22+B13</f>
        <v>2170230</v>
      </c>
      <c r="C14" s="23" t="n">
        <f aca="false">'Revenue Drivers'!C22+C13</f>
        <v>2627543</v>
      </c>
      <c r="D14" s="23" t="n">
        <f aca="false">'Revenue Drivers'!D22+D13</f>
        <v>3131266</v>
      </c>
      <c r="E14" s="23" t="n">
        <f aca="false">'Revenue Drivers'!E22+E13</f>
        <v>3709070.0731579</v>
      </c>
      <c r="F14" s="23" t="n">
        <f aca="false">'Revenue Drivers'!F22+F13</f>
        <v>4378517.52425018</v>
      </c>
      <c r="G14" s="23" t="n">
        <f aca="false">'Revenue Drivers'!G22+G13</f>
        <v>5152637.61005215</v>
      </c>
      <c r="H14" s="23" t="n">
        <f aca="false">'Revenue Drivers'!H22+H13</f>
        <v>6045378.81567094</v>
      </c>
      <c r="I14" s="23" t="n">
        <f aca="false">'Revenue Drivers'!I22+I13</f>
        <v>7072194.2379934</v>
      </c>
    </row>
    <row r="15" customFormat="false" ht="15" hidden="false" customHeight="true" outlineLevel="0" collapsed="false">
      <c r="A15" s="6" t="s">
        <v>113</v>
      </c>
      <c r="B15" s="23" t="n">
        <f aca="false">B14*B7</f>
        <v>1321670.07</v>
      </c>
      <c r="C15" s="23" t="n">
        <f aca="false">C14*C7</f>
        <v>1589663.515</v>
      </c>
      <c r="D15" s="23" t="n">
        <f aca="false">D14*D7</f>
        <v>1872497.068</v>
      </c>
      <c r="E15" s="23" t="n">
        <f aca="false">E14*E7</f>
        <v>2206896.69352895</v>
      </c>
      <c r="F15" s="23" t="n">
        <f aca="false">F14*F7</f>
        <v>2592082.3743561</v>
      </c>
      <c r="G15" s="23" t="n">
        <f aca="false">G14*G7</f>
        <v>3034903.55232072</v>
      </c>
      <c r="H15" s="23" t="n">
        <f aca="false">H14*H7</f>
        <v>3542591.98598317</v>
      </c>
      <c r="I15" s="23" t="n">
        <f aca="false">I14*I7</f>
        <v>4123089.24075015</v>
      </c>
    </row>
    <row r="16" customFormat="false" ht="15" hidden="false" customHeight="true" outlineLevel="0" collapsed="false">
      <c r="A16" s="6" t="s">
        <v>114</v>
      </c>
      <c r="B16" s="23" t="n">
        <f aca="false">B14*B8</f>
        <v>668430.84</v>
      </c>
      <c r="C16" s="23" t="n">
        <f aca="false">C14*C8</f>
        <v>825048.502</v>
      </c>
      <c r="D16" s="23" t="n">
        <f aca="false">D14*D8</f>
        <v>1011398.918</v>
      </c>
      <c r="E16" s="23" t="n">
        <f aca="false">E14*E8</f>
        <v>1205447.77377632</v>
      </c>
      <c r="F16" s="23" t="n">
        <f aca="false">F14*F8</f>
        <v>1431775.23042981</v>
      </c>
      <c r="G16" s="23" t="n">
        <f aca="false">G14*G8</f>
        <v>1695217.77370716</v>
      </c>
      <c r="H16" s="23" t="n">
        <f aca="false">H14*H8</f>
        <v>2001020.38798708</v>
      </c>
      <c r="I16" s="23" t="n">
        <f aca="false">I14*I8</f>
        <v>2355040.6812518</v>
      </c>
    </row>
    <row r="17" customFormat="false" ht="15" hidden="false" customHeight="true" outlineLevel="0" collapsed="false">
      <c r="A17" s="6" t="s">
        <v>115</v>
      </c>
      <c r="B17" s="23" t="n">
        <f aca="false">B14*B9</f>
        <v>180129.09</v>
      </c>
      <c r="C17" s="23" t="n">
        <f aca="false">C14*C9</f>
        <v>212830.983</v>
      </c>
      <c r="D17" s="23" t="n">
        <f aca="false">D14*D9</f>
        <v>247370.014</v>
      </c>
      <c r="E17" s="23" t="n">
        <f aca="false">E14*E9</f>
        <v>296725.605852632</v>
      </c>
      <c r="F17" s="23" t="n">
        <f aca="false">F14*F9</f>
        <v>354659.919464264</v>
      </c>
      <c r="G17" s="23" t="n">
        <f aca="false">G14*G9</f>
        <v>422516.284024276</v>
      </c>
      <c r="H17" s="23" t="n">
        <f aca="false">H14*H9</f>
        <v>501766.441700688</v>
      </c>
      <c r="I17" s="23" t="n">
        <f aca="false">I14*I9</f>
        <v>594064.315991446</v>
      </c>
    </row>
    <row r="18" customFormat="false" ht="15" hidden="false" customHeight="true" outlineLevel="0" collapsed="false">
      <c r="A18" s="6" t="s">
        <v>116</v>
      </c>
      <c r="B18" s="23" t="n">
        <f aca="false">B14*B10</f>
        <v>0</v>
      </c>
      <c r="C18" s="23" t="n">
        <f aca="false">C14*C10</f>
        <v>0</v>
      </c>
      <c r="D18" s="23" t="n">
        <f aca="false">D14*D10</f>
        <v>0</v>
      </c>
      <c r="E18" s="23" t="n">
        <f aca="false">E14*E10</f>
        <v>0</v>
      </c>
      <c r="F18" s="23" t="n">
        <f aca="false">F14*F10</f>
        <v>0</v>
      </c>
      <c r="G18" s="23" t="n">
        <f aca="false">G14*G10</f>
        <v>0</v>
      </c>
      <c r="H18" s="23" t="n">
        <f aca="false">H14*H10</f>
        <v>0</v>
      </c>
      <c r="I18" s="23" t="n">
        <f aca="false">I14*I10</f>
        <v>0</v>
      </c>
    </row>
    <row r="19" customFormat="false" ht="15" hidden="false" customHeight="true" outlineLevel="0" collapsed="false">
      <c r="A19" s="15" t="s">
        <v>117</v>
      </c>
      <c r="B19" s="39" t="n">
        <f aca="false">SUM(B15:B18)</f>
        <v>2170230</v>
      </c>
      <c r="C19" s="39" t="n">
        <f aca="false">SUM(C15:C18)</f>
        <v>2627543</v>
      </c>
      <c r="D19" s="39" t="n">
        <f aca="false">SUM(D15:D18)</f>
        <v>3131266</v>
      </c>
      <c r="E19" s="39" t="n">
        <f aca="false">SUM(E15:E18)</f>
        <v>3709070.0731579</v>
      </c>
      <c r="F19" s="39" t="n">
        <f aca="false">SUM(F15:F18)</f>
        <v>4378517.52425018</v>
      </c>
      <c r="G19" s="39" t="n">
        <f aca="false">SUM(G15:G18)</f>
        <v>5152637.61005215</v>
      </c>
      <c r="H19" s="39" t="n">
        <f aca="false">SUM(H15:H18)</f>
        <v>6045378.81567094</v>
      </c>
      <c r="I19" s="39" t="n">
        <f aca="false">SUM(I15:I18)</f>
        <v>7072194.2379934</v>
      </c>
    </row>
    <row r="21" customFormat="false" ht="15" hidden="false" customHeight="true" outlineLevel="0" collapsed="false">
      <c r="A21" s="15" t="s">
        <v>118</v>
      </c>
    </row>
    <row r="22" customFormat="false" ht="15" hidden="false" customHeight="true" outlineLevel="0" collapsed="false">
      <c r="A22" s="6" t="s">
        <v>119</v>
      </c>
      <c r="C22" s="17" t="n">
        <f aca="false">C15/B15-1</f>
        <v>0.202768793122477</v>
      </c>
      <c r="D22" s="17" t="n">
        <f aca="false">D15/C15-1</f>
        <v>0.177920390278316</v>
      </c>
      <c r="E22" s="17" t="n">
        <f aca="false">E15/D15-1</f>
        <v>0.178584859353674</v>
      </c>
      <c r="F22" s="17" t="n">
        <f aca="false">F15/E15-1</f>
        <v>0.174537250409861</v>
      </c>
      <c r="G22" s="17" t="n">
        <f aca="false">G15/F15-1</f>
        <v>0.170836074634631</v>
      </c>
      <c r="H22" s="17" t="n">
        <f aca="false">H15/G15-1</f>
        <v>0.167283218365948</v>
      </c>
      <c r="I22" s="17" t="n">
        <f aca="false">I15/H15-1</f>
        <v>0.163862295478511</v>
      </c>
    </row>
    <row r="23" customFormat="false" ht="15" hidden="false" customHeight="true" outlineLevel="0" collapsed="false">
      <c r="A23" s="6" t="s">
        <v>120</v>
      </c>
      <c r="C23" s="17" t="n">
        <f aca="false">C16/B16-1</f>
        <v>0.234306457194584</v>
      </c>
      <c r="D23" s="17" t="n">
        <f aca="false">D16/C16-1</f>
        <v>0.225866013389841</v>
      </c>
      <c r="E23" s="17" t="n">
        <f aca="false">E16/D16-1</f>
        <v>0.191861838412918</v>
      </c>
      <c r="F23" s="17" t="n">
        <f aca="false">F16/E16-1</f>
        <v>0.187753846808704</v>
      </c>
      <c r="G23" s="17" t="n">
        <f aca="false">G16/F16-1</f>
        <v>0.183997137035445</v>
      </c>
      <c r="H23" s="17" t="n">
        <f aca="false">H16/G16-1</f>
        <v>0.18039134500766</v>
      </c>
      <c r="I23" s="17" t="n">
        <f aca="false">I16/H16-1</f>
        <v>0.176919883170628</v>
      </c>
    </row>
    <row r="24" customFormat="false" ht="15" hidden="false" customHeight="true" outlineLevel="0" collapsed="false">
      <c r="A24" s="6" t="s">
        <v>121</v>
      </c>
      <c r="C24" s="17" t="n">
        <f aca="false">C17/B17-1</f>
        <v>0.181546983888055</v>
      </c>
      <c r="D24" s="17" t="n">
        <f aca="false">D17/C17-1</f>
        <v>0.162283848493995</v>
      </c>
      <c r="E24" s="17" t="n">
        <f aca="false">E17/D17-1</f>
        <v>0.199521320529301</v>
      </c>
      <c r="F24" s="17" t="n">
        <f aca="false">F17/E17-1</f>
        <v>0.195245413503025</v>
      </c>
      <c r="G24" s="17" t="n">
        <f aca="false">G17/F17-1</f>
        <v>0.191327976001667</v>
      </c>
      <c r="H24" s="17" t="n">
        <f aca="false">H17/G17-1</f>
        <v>0.187567108471159</v>
      </c>
      <c r="I24" s="17" t="n">
        <f aca="false">I17/H17-1</f>
        <v>0.183945889202799</v>
      </c>
    </row>
    <row r="26" customFormat="false" ht="15" hidden="false" customHeight="true" outlineLevel="0" collapsed="false">
      <c r="A26" s="15" t="s">
        <v>122</v>
      </c>
    </row>
    <row r="27" customFormat="false" ht="15" hidden="false" customHeight="true" outlineLevel="0" collapsed="false">
      <c r="A27" s="6" t="s">
        <v>123</v>
      </c>
      <c r="E27" s="20" t="n">
        <v>0.02</v>
      </c>
      <c r="F27" s="20" t="n">
        <v>0.02</v>
      </c>
      <c r="G27" s="20" t="n">
        <v>0.02</v>
      </c>
      <c r="H27" s="20" t="n">
        <v>0.02</v>
      </c>
      <c r="I27" s="20" t="n">
        <v>0.02</v>
      </c>
    </row>
    <row r="28" customFormat="false" ht="15" hidden="false" customHeight="true" outlineLevel="0" collapsed="false">
      <c r="A28" s="6" t="s">
        <v>124</v>
      </c>
      <c r="E28" s="20" t="n">
        <v>0.03</v>
      </c>
      <c r="F28" s="20" t="n">
        <v>0.03</v>
      </c>
      <c r="G28" s="20" t="n">
        <v>0.03</v>
      </c>
      <c r="H28" s="20" t="n">
        <v>0.03</v>
      </c>
      <c r="I28" s="20" t="n">
        <v>0.03</v>
      </c>
    </row>
    <row r="29" customFormat="false" ht="15" hidden="false" customHeight="true" outlineLevel="0" collapsed="false">
      <c r="A29" s="6" t="s">
        <v>125</v>
      </c>
      <c r="E29" s="20" t="n">
        <v>0.05</v>
      </c>
      <c r="F29" s="20" t="n">
        <v>0.05</v>
      </c>
      <c r="G29" s="20" t="n">
        <v>0.05</v>
      </c>
      <c r="H29" s="20" t="n">
        <v>0.05</v>
      </c>
      <c r="I29" s="20" t="n">
        <v>0.05</v>
      </c>
    </row>
    <row r="30" customFormat="false" ht="15" hidden="false" customHeight="true" outlineLevel="0" collapsed="false">
      <c r="A30" s="6" t="s">
        <v>126</v>
      </c>
      <c r="E30" s="20" t="n">
        <v>-0.03</v>
      </c>
      <c r="F30" s="20" t="n">
        <v>-0.03</v>
      </c>
      <c r="G30" s="20" t="n">
        <v>-0.03</v>
      </c>
      <c r="H30" s="20" t="n">
        <v>-0.03</v>
      </c>
      <c r="I30" s="20" t="n">
        <v>-0.03</v>
      </c>
    </row>
    <row r="31" customFormat="false" ht="15" hidden="false" customHeight="true" outlineLevel="0" collapsed="false">
      <c r="A31" s="6" t="s">
        <v>127</v>
      </c>
      <c r="E31" s="20" t="n">
        <v>-0.045</v>
      </c>
      <c r="F31" s="20" t="n">
        <v>-0.045</v>
      </c>
      <c r="G31" s="20" t="n">
        <v>-0.045</v>
      </c>
      <c r="H31" s="20" t="n">
        <v>-0.045</v>
      </c>
      <c r="I31" s="20" t="n">
        <v>-0.045</v>
      </c>
    </row>
    <row r="32" customFormat="false" ht="15" hidden="false" customHeight="true" outlineLevel="0" collapsed="false">
      <c r="A32" s="6" t="s">
        <v>128</v>
      </c>
      <c r="E32" s="20" t="n">
        <v>-0.06</v>
      </c>
      <c r="F32" s="20" t="n">
        <v>-0.06</v>
      </c>
      <c r="G32" s="20" t="n">
        <v>-0.06</v>
      </c>
      <c r="H32" s="20" t="n">
        <v>-0.06</v>
      </c>
      <c r="I32" s="20" t="n">
        <v>-0.06</v>
      </c>
    </row>
    <row r="34" customFormat="false" ht="15" hidden="false" customHeight="true" outlineLevel="0" collapsed="false">
      <c r="A34" s="15" t="s">
        <v>129</v>
      </c>
    </row>
    <row r="35" customFormat="false" ht="15" hidden="false" customHeight="true" outlineLevel="0" collapsed="false">
      <c r="A35" s="6" t="s">
        <v>130</v>
      </c>
      <c r="B35" s="23" t="n">
        <f aca="false">B15</f>
        <v>1321670.07</v>
      </c>
      <c r="C35" s="23" t="n">
        <f aca="false">C15</f>
        <v>1589663.515</v>
      </c>
      <c r="D35" s="23" t="n">
        <f aca="false">D15</f>
        <v>1872497.068</v>
      </c>
      <c r="E35" s="23" t="n">
        <f aca="false">D35*(1+E22+CHOOSE($B$4,0,E27,E30))</f>
        <v>2206896.69352895</v>
      </c>
      <c r="F35" s="23" t="n">
        <f aca="false">E35*(1+F22+CHOOSE($B$4,0,F27,F30))</f>
        <v>2592082.3743561</v>
      </c>
      <c r="G35" s="23" t="n">
        <f aca="false">F35*(1+G22+CHOOSE($B$4,0,G27,G30))</f>
        <v>3034903.55232071</v>
      </c>
      <c r="H35" s="23" t="n">
        <f aca="false">G35*(1+H22+CHOOSE($B$4,0,H27,H30))</f>
        <v>3542591.98598317</v>
      </c>
      <c r="I35" s="23" t="n">
        <f aca="false">H35*(1+I22+CHOOSE($B$4,0,I27,I30))</f>
        <v>4123089.24075015</v>
      </c>
    </row>
    <row r="36" customFormat="false" ht="15" hidden="false" customHeight="true" outlineLevel="0" collapsed="false">
      <c r="A36" s="6" t="s">
        <v>131</v>
      </c>
      <c r="B36" s="23" t="n">
        <f aca="false">B16</f>
        <v>668430.84</v>
      </c>
      <c r="C36" s="23" t="n">
        <f aca="false">C16</f>
        <v>825048.502</v>
      </c>
      <c r="D36" s="23" t="n">
        <f aca="false">D16</f>
        <v>1011398.918</v>
      </c>
      <c r="E36" s="23" t="n">
        <f aca="false">D36*(1+E23+CHOOSE($B$4,0,E28,E31))</f>
        <v>1205447.77377632</v>
      </c>
      <c r="F36" s="23" t="n">
        <f aca="false">E36*(1+F23+CHOOSE($B$4,0,F28,F31))</f>
        <v>1431775.23042981</v>
      </c>
      <c r="G36" s="23" t="n">
        <f aca="false">F36*(1+G23+CHOOSE($B$4,0,G28,G31))</f>
        <v>1695217.77370716</v>
      </c>
      <c r="H36" s="23" t="n">
        <f aca="false">G36*(1+H23+CHOOSE($B$4,0,H28,H31))</f>
        <v>2001020.38798708</v>
      </c>
      <c r="I36" s="23" t="n">
        <f aca="false">H36*(1+I23+CHOOSE($B$4,0,I28,I31))</f>
        <v>2355040.6812518</v>
      </c>
    </row>
    <row r="37" customFormat="false" ht="15" hidden="false" customHeight="true" outlineLevel="0" collapsed="false">
      <c r="A37" s="6" t="s">
        <v>132</v>
      </c>
      <c r="B37" s="23" t="n">
        <f aca="false">B17</f>
        <v>180129.09</v>
      </c>
      <c r="C37" s="23" t="n">
        <f aca="false">C17</f>
        <v>212830.983</v>
      </c>
      <c r="D37" s="23" t="n">
        <f aca="false">D17</f>
        <v>247370.014</v>
      </c>
      <c r="E37" s="23" t="n">
        <f aca="false">D37*(1+E24+CHOOSE($B$4,0,E29,E32))</f>
        <v>296725.605852632</v>
      </c>
      <c r="F37" s="23" t="n">
        <f aca="false">E37*(1+F24+CHOOSE($B$4,0,F29,F32))</f>
        <v>354659.919464264</v>
      </c>
      <c r="G37" s="23" t="n">
        <f aca="false">F37*(1+G24+CHOOSE($B$4,0,G29,G32))</f>
        <v>422516.284024276</v>
      </c>
      <c r="H37" s="23" t="n">
        <f aca="false">G37*(1+H24+CHOOSE($B$4,0,H29,H32))</f>
        <v>501766.441700688</v>
      </c>
      <c r="I37" s="23" t="n">
        <f aca="false">H37*(1+I24+CHOOSE($B$4,0,I29,I32))</f>
        <v>594064.315991446</v>
      </c>
    </row>
    <row r="38" customFormat="false" ht="15" hidden="false" customHeight="true" outlineLevel="0" collapsed="false">
      <c r="A38" s="6" t="s">
        <v>133</v>
      </c>
      <c r="B38" s="23" t="n">
        <f aca="false">B18</f>
        <v>0</v>
      </c>
      <c r="C38" s="23" t="n">
        <f aca="false">C18</f>
        <v>0</v>
      </c>
      <c r="D38" s="23" t="n">
        <f aca="false">D18</f>
        <v>0</v>
      </c>
      <c r="E38" s="23" t="n">
        <f aca="false">E18</f>
        <v>0</v>
      </c>
      <c r="F38" s="23" t="n">
        <f aca="false">F18</f>
        <v>0</v>
      </c>
      <c r="G38" s="23" t="n">
        <f aca="false">G18</f>
        <v>0</v>
      </c>
      <c r="H38" s="23" t="n">
        <f aca="false">H18</f>
        <v>0</v>
      </c>
      <c r="I38" s="23" t="n">
        <f aca="false">I18</f>
        <v>0</v>
      </c>
    </row>
    <row r="39" customFormat="false" ht="15" hidden="false" customHeight="true" outlineLevel="0" collapsed="false">
      <c r="A39" s="15" t="s">
        <v>134</v>
      </c>
      <c r="B39" s="32" t="n">
        <f aca="false">SUM(B35:B38)</f>
        <v>2170230</v>
      </c>
      <c r="C39" s="32" t="n">
        <f aca="false">SUM(C35:C38)</f>
        <v>2627543</v>
      </c>
      <c r="D39" s="32" t="n">
        <f aca="false">SUM(D35:D38)</f>
        <v>3131266</v>
      </c>
      <c r="E39" s="32" t="n">
        <f aca="false">SUM(E35:E38)</f>
        <v>3709070.0731579</v>
      </c>
      <c r="F39" s="32" t="n">
        <f aca="false">SUM(F35:F38)</f>
        <v>4378517.52425018</v>
      </c>
      <c r="G39" s="32" t="n">
        <f aca="false">SUM(G35:G38)</f>
        <v>5152637.61005215</v>
      </c>
      <c r="H39" s="32" t="n">
        <f aca="false">SUM(H35:H38)</f>
        <v>6045378.81567094</v>
      </c>
      <c r="I39" s="32" t="n">
        <f aca="false">SUM(I35:I38)</f>
        <v>7072194.2379934</v>
      </c>
    </row>
    <row r="40" customFormat="false" ht="15" hidden="false" customHeight="true" outlineLevel="0" collapsed="false">
      <c r="A40" s="6" t="s">
        <v>135</v>
      </c>
      <c r="C40" s="17" t="n">
        <f aca="false">C39/B39-1</f>
        <v>0.210720983490229</v>
      </c>
      <c r="D40" s="17" t="n">
        <f aca="false">D39/C39-1</f>
        <v>0.191708756050805</v>
      </c>
      <c r="E40" s="17" t="n">
        <f aca="false">E39/D39-1</f>
        <v>0.184527304022684</v>
      </c>
      <c r="F40" s="17" t="n">
        <f aca="false">F39/E39-1</f>
        <v>0.180489297286938</v>
      </c>
      <c r="G40" s="17" t="n">
        <f aca="false">G39/F39-1</f>
        <v>0.176799586050427</v>
      </c>
      <c r="H40" s="17" t="n">
        <f aca="false">H39/G39-1</f>
        <v>0.173259071019699</v>
      </c>
      <c r="I40" s="17" t="n">
        <f aca="false">I39/H39-1</f>
        <v>0.169851295283718</v>
      </c>
    </row>
    <row r="41" customFormat="false" ht="15" hidden="false" customHeight="true" outlineLevel="0" collapsed="false">
      <c r="A41" s="6" t="s">
        <v>136</v>
      </c>
      <c r="B41" s="40" t="n">
        <f aca="false">B39/B19</f>
        <v>1</v>
      </c>
      <c r="C41" s="40" t="n">
        <f aca="false">C39/C19</f>
        <v>1</v>
      </c>
      <c r="D41" s="40" t="n">
        <f aca="false">D39/D19</f>
        <v>1</v>
      </c>
      <c r="E41" s="40" t="n">
        <f aca="false">E39/E19</f>
        <v>1</v>
      </c>
      <c r="F41" s="40" t="n">
        <f aca="false">F39/F19</f>
        <v>1</v>
      </c>
      <c r="G41" s="40" t="n">
        <f aca="false">G39/G19</f>
        <v>1</v>
      </c>
      <c r="H41" s="40" t="n">
        <f aca="false">H39/H19</f>
        <v>1</v>
      </c>
      <c r="I41" s="40" t="n">
        <f aca="false">I39/I19</f>
        <v>1</v>
      </c>
    </row>
    <row r="42" customFormat="false" ht="15" hidden="false" customHeight="true" outlineLevel="0" collapsed="false">
      <c r="A42" s="6" t="s">
        <v>137</v>
      </c>
      <c r="B42" s="23" t="n">
        <f aca="false">B39-B19</f>
        <v>0</v>
      </c>
      <c r="C42" s="23" t="n">
        <f aca="false">C39-C19</f>
        <v>0</v>
      </c>
      <c r="D42" s="23" t="n">
        <f aca="false">D39-D19</f>
        <v>0</v>
      </c>
      <c r="E42" s="23" t="n">
        <f aca="false">E39-E19</f>
        <v>0</v>
      </c>
      <c r="F42" s="23" t="n">
        <f aca="false">F39-F19</f>
        <v>0</v>
      </c>
      <c r="G42" s="23" t="n">
        <f aca="false">G39-G19</f>
        <v>0</v>
      </c>
      <c r="H42" s="23" t="n">
        <f aca="false">H39-H19</f>
        <v>0</v>
      </c>
      <c r="I42" s="23" t="n">
        <f aca="false">I39-I19</f>
        <v>0</v>
      </c>
    </row>
    <row r="44" customFormat="false" ht="15" hidden="false" customHeight="true" outlineLevel="0" collapsed="false">
      <c r="A44" s="15" t="s">
        <v>138</v>
      </c>
    </row>
    <row r="45" customFormat="false" ht="15" hidden="false" customHeight="true" outlineLevel="0" collapsed="false">
      <c r="A45" s="6" t="s">
        <v>139</v>
      </c>
      <c r="B45" s="38" t="n">
        <f aca="false">'Income Statement'!B27</f>
        <v>-164510</v>
      </c>
      <c r="C45" s="38" t="n">
        <f aca="false">'Income Statement'!C27</f>
        <v>4628</v>
      </c>
      <c r="D45" s="38" t="n">
        <f aca="false">'Income Statement'!D27</f>
        <v>45911</v>
      </c>
      <c r="E45" s="38" t="n">
        <f aca="false">'Income Statement'!E27</f>
        <v>103043.332896</v>
      </c>
      <c r="F45" s="38" t="n">
        <f aca="false">'Income Statement'!F27</f>
        <v>186277.57204484</v>
      </c>
      <c r="G45" s="38" t="n">
        <f aca="false">'Income Statement'!G27</f>
        <v>298166.431687109</v>
      </c>
      <c r="H45" s="38" t="n">
        <f aca="false">'Income Statement'!H27</f>
        <v>446431.155940352</v>
      </c>
      <c r="I45" s="38" t="n">
        <f aca="false">'Income Statement'!I27</f>
        <v>640883.618420069</v>
      </c>
    </row>
    <row r="46" customFormat="false" ht="15" hidden="false" customHeight="true" outlineLevel="0" collapsed="false">
      <c r="A46" s="6" t="s">
        <v>140</v>
      </c>
      <c r="B46" s="41" t="n">
        <f aca="false">'Income Statement'!B30</f>
        <v>-3.29831385207611</v>
      </c>
      <c r="C46" s="41" t="n">
        <f aca="false">'Income Statement'!C30</f>
        <v>0.0893108705301144</v>
      </c>
      <c r="D46" s="41" t="n">
        <f aca="false">'Income Statement'!D30</f>
        <v>0.863086062337858</v>
      </c>
      <c r="E46" s="41" t="n">
        <f aca="false">'Income Statement'!E30</f>
        <v>1.91794378834507</v>
      </c>
      <c r="F46" s="41" t="n">
        <f aca="false">'Income Statement'!F30</f>
        <v>3.43285272716227</v>
      </c>
      <c r="G46" s="41" t="n">
        <f aca="false">'Income Statement'!G30</f>
        <v>5.44041435196167</v>
      </c>
      <c r="H46" s="41" t="n">
        <f aca="false">'Income Statement'!H30</f>
        <v>8.0650367715047</v>
      </c>
      <c r="I46" s="41" t="n">
        <f aca="false">'Income Statement'!I30</f>
        <v>11.4632998585546</v>
      </c>
    </row>
    <row r="47" customFormat="false" ht="15" hidden="false" customHeight="true" outlineLevel="0" collapsed="false">
      <c r="A47" s="6" t="s">
        <v>141</v>
      </c>
      <c r="B47" s="38" t="n">
        <f aca="false">'Balance Sheet'!B5</f>
        <v>387987</v>
      </c>
      <c r="C47" s="38" t="n">
        <f aca="false">'Balance Sheet'!C5</f>
        <v>512667</v>
      </c>
      <c r="D47" s="38" t="n">
        <f aca="false">'Balance Sheet'!D5</f>
        <v>882242</v>
      </c>
      <c r="E47" s="38" t="n">
        <f aca="false">'Balance Sheet'!E5</f>
        <v>1135436.95457196</v>
      </c>
      <c r="F47" s="38" t="n">
        <f aca="false">'Balance Sheet'!F5</f>
        <v>1543896.48062019</v>
      </c>
      <c r="G47" s="38" t="n">
        <f aca="false">'Balance Sheet'!G5</f>
        <v>2098112.97310004</v>
      </c>
      <c r="H47" s="38" t="n">
        <f aca="false">'Balance Sheet'!H5</f>
        <v>2878788.13775949</v>
      </c>
      <c r="I47" s="38" t="n">
        <f aca="false">'Balance Sheet'!I5</f>
        <v>3921319.24308512</v>
      </c>
    </row>
    <row r="48" customFormat="false" ht="15" hidden="false" customHeight="true" outlineLevel="0" collapsed="false">
      <c r="A48" s="6" t="s">
        <v>142</v>
      </c>
      <c r="B48" s="42" t="n">
        <f aca="false">(I39/D39)^0.2-1</f>
        <v>0.176973930616435</v>
      </c>
    </row>
    <row r="50" customFormat="false" ht="15" hidden="false" customHeight="true" outlineLevel="0" collapsed="false">
      <c r="A50" s="15" t="s">
        <v>143</v>
      </c>
    </row>
    <row r="51" customFormat="false" ht="15" hidden="false" customHeight="true" outlineLevel="0" collapsed="false">
      <c r="A51" s="15" t="s">
        <v>144</v>
      </c>
      <c r="B51" s="43" t="n">
        <f aca="false">'Revenue Drivers'!B8</f>
        <v>205091</v>
      </c>
      <c r="C51" s="43" t="n">
        <f aca="false">'Revenue Drivers'!C8</f>
        <v>247939</v>
      </c>
      <c r="D51" s="43" t="n">
        <f aca="false">'Revenue Drivers'!D8</f>
        <v>288706</v>
      </c>
      <c r="E51" s="43" t="n">
        <f aca="false">'Revenue Drivers'!E8</f>
        <v>339694.010526316</v>
      </c>
      <c r="F51" s="43" t="n">
        <f aca="false">'Revenue Drivers'!F8</f>
        <v>394330.172332456</v>
      </c>
      <c r="G51" s="43" t="n">
        <f aca="false">'Revenue Drivers'!G8</f>
        <v>455066.62616493</v>
      </c>
      <c r="H51" s="43" t="n">
        <f aca="false">'Revenue Drivers'!H8</f>
        <v>520425.930423819</v>
      </c>
      <c r="I51" s="43" t="n">
        <f aca="false">'Revenue Drivers'!I8</f>
        <v>593405.915554829</v>
      </c>
    </row>
    <row r="52" customFormat="false" ht="15" hidden="false" customHeight="true" outlineLevel="0" collapsed="false">
      <c r="A52" s="6" t="s">
        <v>145</v>
      </c>
      <c r="B52" s="19" t="n">
        <v>0.52</v>
      </c>
      <c r="C52" s="19" t="n">
        <v>0.51</v>
      </c>
      <c r="D52" s="19" t="n">
        <v>0.5</v>
      </c>
      <c r="E52" s="19" t="n">
        <v>0.495</v>
      </c>
      <c r="F52" s="19" t="n">
        <v>0.49</v>
      </c>
      <c r="G52" s="19" t="n">
        <v>0.485</v>
      </c>
      <c r="H52" s="19" t="n">
        <v>0.48</v>
      </c>
      <c r="I52" s="19" t="n">
        <v>0.475</v>
      </c>
    </row>
    <row r="53" customFormat="false" ht="15" hidden="false" customHeight="true" outlineLevel="0" collapsed="false">
      <c r="A53" s="6" t="s">
        <v>146</v>
      </c>
      <c r="B53" s="19" t="n">
        <v>0.36</v>
      </c>
      <c r="C53" s="19" t="n">
        <v>0.37</v>
      </c>
      <c r="D53" s="19" t="n">
        <v>0.375</v>
      </c>
      <c r="E53" s="19" t="n">
        <v>0.378</v>
      </c>
      <c r="F53" s="19" t="n">
        <v>0.38</v>
      </c>
      <c r="G53" s="19" t="n">
        <v>0.382</v>
      </c>
      <c r="H53" s="19" t="n">
        <v>0.384</v>
      </c>
      <c r="I53" s="19" t="n">
        <v>0.386</v>
      </c>
    </row>
    <row r="54" customFormat="false" ht="15" hidden="false" customHeight="true" outlineLevel="0" collapsed="false">
      <c r="A54" s="6" t="s">
        <v>147</v>
      </c>
      <c r="B54" s="19" t="n">
        <v>0.1</v>
      </c>
      <c r="C54" s="19" t="n">
        <v>0.1</v>
      </c>
      <c r="D54" s="19" t="n">
        <v>0.105</v>
      </c>
      <c r="E54" s="19" t="n">
        <v>0.107</v>
      </c>
      <c r="F54" s="19" t="n">
        <v>0.109</v>
      </c>
      <c r="G54" s="19" t="n">
        <v>0.111</v>
      </c>
      <c r="H54" s="19" t="n">
        <v>0.113</v>
      </c>
      <c r="I54" s="19" t="n">
        <v>0.115</v>
      </c>
    </row>
    <row r="55" customFormat="false" ht="15" hidden="false" customHeight="true" outlineLevel="0" collapsed="false">
      <c r="A55" s="6" t="s">
        <v>148</v>
      </c>
      <c r="B55" s="17" t="n">
        <f aca="false">1-B52-B53-B54</f>
        <v>0.02</v>
      </c>
      <c r="C55" s="17" t="n">
        <f aca="false">1-C52-C53-C54</f>
        <v>0.02</v>
      </c>
      <c r="D55" s="17" t="n">
        <f aca="false">1-D52-D53-D54</f>
        <v>0.02</v>
      </c>
      <c r="E55" s="17" t="n">
        <f aca="false">1-E52-E53-E54</f>
        <v>0.02</v>
      </c>
      <c r="F55" s="17" t="n">
        <f aca="false">1-F52-F53-F54</f>
        <v>0.021</v>
      </c>
      <c r="G55" s="17" t="n">
        <f aca="false">1-G52-G53-G54</f>
        <v>0.022</v>
      </c>
      <c r="H55" s="17" t="n">
        <f aca="false">1-H52-H53-H54</f>
        <v>0.023</v>
      </c>
      <c r="I55" s="17" t="n">
        <f aca="false">1-I52-I53-I54</f>
        <v>0.024</v>
      </c>
    </row>
    <row r="56" customFormat="false" ht="15" hidden="false" customHeight="true" outlineLevel="0" collapsed="false">
      <c r="A56" s="6" t="s">
        <v>149</v>
      </c>
      <c r="B56" s="25" t="n">
        <f aca="false">B51*B52</f>
        <v>106647.32</v>
      </c>
      <c r="C56" s="25" t="n">
        <f aca="false">C51*C52</f>
        <v>126448.89</v>
      </c>
      <c r="D56" s="25" t="n">
        <f aca="false">D51*D52</f>
        <v>144353</v>
      </c>
      <c r="E56" s="25" t="n">
        <f aca="false">E51*E52</f>
        <v>168148.535210526</v>
      </c>
      <c r="F56" s="25" t="n">
        <f aca="false">F51*F52</f>
        <v>193221.784442904</v>
      </c>
      <c r="G56" s="25" t="n">
        <f aca="false">G51*G52</f>
        <v>220707.313689991</v>
      </c>
      <c r="H56" s="25" t="n">
        <f aca="false">H51*H52</f>
        <v>249804.446603433</v>
      </c>
      <c r="I56" s="25" t="n">
        <f aca="false">I51*I52</f>
        <v>281867.809888544</v>
      </c>
    </row>
    <row r="57" customFormat="false" ht="15" hidden="false" customHeight="true" outlineLevel="0" collapsed="false">
      <c r="A57" s="6" t="s">
        <v>150</v>
      </c>
      <c r="B57" s="25" t="n">
        <f aca="false">B51*B53</f>
        <v>73832.76</v>
      </c>
      <c r="C57" s="25" t="n">
        <f aca="false">C51*C53</f>
        <v>91737.43</v>
      </c>
      <c r="D57" s="25" t="n">
        <f aca="false">D51*D53</f>
        <v>108264.75</v>
      </c>
      <c r="E57" s="25" t="n">
        <f aca="false">E51*E53</f>
        <v>128404.335978947</v>
      </c>
      <c r="F57" s="25" t="n">
        <f aca="false">F51*F53</f>
        <v>149845.465486333</v>
      </c>
      <c r="G57" s="25" t="n">
        <f aca="false">G51*G53</f>
        <v>173835.451195003</v>
      </c>
      <c r="H57" s="25" t="n">
        <f aca="false">H51*H53</f>
        <v>199843.557282746</v>
      </c>
      <c r="I57" s="25" t="n">
        <f aca="false">I51*I53</f>
        <v>229054.683404164</v>
      </c>
    </row>
    <row r="58" customFormat="false" ht="15" hidden="false" customHeight="true" outlineLevel="0" collapsed="false">
      <c r="A58" s="6" t="s">
        <v>151</v>
      </c>
      <c r="B58" s="25" t="n">
        <f aca="false">B51*B54</f>
        <v>20509.1</v>
      </c>
      <c r="C58" s="25" t="n">
        <f aca="false">C51*C54</f>
        <v>24793.9</v>
      </c>
      <c r="D58" s="25" t="n">
        <f aca="false">D51*D54</f>
        <v>30314.13</v>
      </c>
      <c r="E58" s="25" t="n">
        <f aca="false">E51*E54</f>
        <v>36347.2591263158</v>
      </c>
      <c r="F58" s="25" t="n">
        <f aca="false">F51*F54</f>
        <v>42981.9887842377</v>
      </c>
      <c r="G58" s="25" t="n">
        <f aca="false">G51*G54</f>
        <v>50512.3955043073</v>
      </c>
      <c r="H58" s="25" t="n">
        <f aca="false">H51*H54</f>
        <v>58808.1301378915</v>
      </c>
      <c r="I58" s="25" t="n">
        <f aca="false">I51*I54</f>
        <v>68241.6802888053</v>
      </c>
    </row>
    <row r="59" customFormat="false" ht="15" hidden="false" customHeight="true" outlineLevel="0" collapsed="false">
      <c r="A59" s="6" t="s">
        <v>152</v>
      </c>
      <c r="B59" s="25" t="n">
        <f aca="false">B51*B55</f>
        <v>4101.82</v>
      </c>
      <c r="C59" s="25" t="n">
        <f aca="false">C51*C55</f>
        <v>4958.78</v>
      </c>
      <c r="D59" s="25" t="n">
        <f aca="false">D51*D55</f>
        <v>5774.12</v>
      </c>
      <c r="E59" s="25" t="n">
        <f aca="false">E51*E55</f>
        <v>6793.88021052632</v>
      </c>
      <c r="F59" s="25" t="n">
        <f aca="false">F51*F55</f>
        <v>8280.93361898158</v>
      </c>
      <c r="G59" s="25" t="n">
        <f aca="false">G51*G55</f>
        <v>10011.4657756285</v>
      </c>
      <c r="H59" s="25" t="n">
        <f aca="false">H51*H55</f>
        <v>11969.7963997478</v>
      </c>
      <c r="I59" s="25" t="n">
        <f aca="false">I51*I55</f>
        <v>14241.7419733159</v>
      </c>
    </row>
    <row r="61" customFormat="false" ht="15" hidden="false" customHeight="true" outlineLevel="0" collapsed="false">
      <c r="A61" s="16" t="s">
        <v>153</v>
      </c>
      <c r="B61" s="33" t="n">
        <f aca="false">B19-B14</f>
        <v>0</v>
      </c>
      <c r="C61" s="33" t="n">
        <f aca="false">C19-C14</f>
        <v>0</v>
      </c>
      <c r="D61" s="33" t="n">
        <f aca="false">D19-D14</f>
        <v>0</v>
      </c>
      <c r="E61" s="33" t="n">
        <f aca="false">E19-E14</f>
        <v>0</v>
      </c>
      <c r="F61" s="33" t="n">
        <f aca="false">F19-F14</f>
        <v>0</v>
      </c>
      <c r="G61" s="33" t="n">
        <f aca="false">G19-G14</f>
        <v>0</v>
      </c>
      <c r="H61" s="33" t="n">
        <f aca="false">H19-H14</f>
        <v>0</v>
      </c>
      <c r="I61" s="33" t="n">
        <f aca="false">I19-I14</f>
        <v>0</v>
      </c>
    </row>
    <row r="62" customFormat="false" ht="15" hidden="false" customHeight="true" outlineLevel="0" collapsed="false">
      <c r="A62" s="16" t="s">
        <v>154</v>
      </c>
      <c r="B62" s="33" t="n">
        <f aca="false">B39-'Income Statement'!B7</f>
        <v>0</v>
      </c>
      <c r="C62" s="33" t="n">
        <f aca="false">C39-'Income Statement'!C7</f>
        <v>0</v>
      </c>
      <c r="D62" s="33" t="n">
        <f aca="false">D39-'Income Statement'!D7</f>
        <v>0</v>
      </c>
      <c r="E62" s="33" t="n">
        <f aca="false">E39-'Income Statement'!E7</f>
        <v>0</v>
      </c>
      <c r="F62" s="33" t="n">
        <f aca="false">F39-'Income Statement'!F7</f>
        <v>0</v>
      </c>
      <c r="G62" s="33" t="n">
        <f aca="false">G39-'Income Statement'!G7</f>
        <v>0</v>
      </c>
      <c r="H62" s="33" t="n">
        <f aca="false">H39-'Income Statement'!H7</f>
        <v>0</v>
      </c>
      <c r="I62" s="33" t="n">
        <f aca="false">I39-'Income Statement'!I7</f>
        <v>0</v>
      </c>
    </row>
    <row r="64" customFormat="false" ht="15" hidden="false" customHeight="true" outlineLevel="0" collapsed="false">
      <c r="A64" s="16" t="s">
        <v>155</v>
      </c>
    </row>
    <row r="65" customFormat="false" ht="15" hidden="false" customHeight="true" outlineLevel="0" collapsed="false">
      <c r="A65" s="16" t="s">
        <v>156</v>
      </c>
    </row>
    <row r="66" customFormat="false" ht="15" hidden="false" customHeight="true" outlineLevel="0" collapsed="false">
      <c r="A66" s="16" t="s">
        <v>157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9" min="2" style="1" width="13.5"/>
    <col collapsed="false" customWidth="true" hidden="false" outlineLevel="0" max="10" min="10" style="1" width="2"/>
    <col collapsed="false" customWidth="true" hidden="false" outlineLevel="0" max="11" min="11" style="1" width="60"/>
  </cols>
  <sheetData>
    <row r="1" customFormat="false" ht="15" hidden="false" customHeight="true" outlineLevel="0" collapsed="false">
      <c r="A1" s="12" t="s">
        <v>158</v>
      </c>
    </row>
    <row r="2" customFormat="false" ht="15" hidden="false" customHeight="true" outlineLevel="0" collapsed="false">
      <c r="A2" s="11" t="s">
        <v>25</v>
      </c>
    </row>
    <row r="3" customFormat="false" ht="15" hidden="false" customHeight="true" outlineLevel="0" collapsed="false">
      <c r="A3" s="13"/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4" t="s">
        <v>32</v>
      </c>
      <c r="I3" s="14" t="s">
        <v>33</v>
      </c>
    </row>
    <row r="4" customFormat="false" ht="15" hidden="false" customHeight="true" outlineLevel="0" collapsed="false">
      <c r="A4" s="15" t="s">
        <v>159</v>
      </c>
    </row>
    <row r="5" customFormat="false" ht="15" hidden="false" customHeight="true" outlineLevel="0" collapsed="false">
      <c r="A5" s="6" t="s">
        <v>160</v>
      </c>
      <c r="B5" s="24" t="n">
        <v>2123479</v>
      </c>
      <c r="C5" s="24" t="n">
        <v>2569546</v>
      </c>
      <c r="D5" s="24" t="n">
        <v>3063917</v>
      </c>
      <c r="E5" s="38" t="n">
        <f aca="false">'Revenue Drivers'!E22*'Regional Breakdown'!E41</f>
        <v>3634986.1731579</v>
      </c>
      <c r="F5" s="38" t="n">
        <f aca="false">'Revenue Drivers'!F22*'Regional Breakdown'!F41</f>
        <v>4297025.23425018</v>
      </c>
      <c r="G5" s="38" t="n">
        <f aca="false">'Revenue Drivers'!G22*'Regional Breakdown'!G41</f>
        <v>5062996.09105215</v>
      </c>
      <c r="H5" s="38" t="n">
        <f aca="false">'Revenue Drivers'!H22*'Regional Breakdown'!H41</f>
        <v>5946773.14477094</v>
      </c>
      <c r="I5" s="38" t="n">
        <f aca="false">'Revenue Drivers'!I22*'Regional Breakdown'!I41</f>
        <v>6963728.0000034</v>
      </c>
      <c r="K5" s="18" t="s">
        <v>161</v>
      </c>
    </row>
    <row r="6" customFormat="false" ht="15" hidden="false" customHeight="true" outlineLevel="0" collapsed="false">
      <c r="A6" s="6" t="s">
        <v>162</v>
      </c>
      <c r="B6" s="24" t="n">
        <v>46751</v>
      </c>
      <c r="C6" s="24" t="n">
        <v>57997</v>
      </c>
      <c r="D6" s="24" t="n">
        <v>67349</v>
      </c>
      <c r="E6" s="38" t="n">
        <f aca="false">'Regional Breakdown'!E13*'Regional Breakdown'!E41</f>
        <v>74083.9</v>
      </c>
      <c r="F6" s="38" t="n">
        <f aca="false">'Regional Breakdown'!F13*'Regional Breakdown'!F41</f>
        <v>81492.29</v>
      </c>
      <c r="G6" s="38" t="n">
        <f aca="false">'Regional Breakdown'!G13*'Regional Breakdown'!G41</f>
        <v>89641.519</v>
      </c>
      <c r="H6" s="38" t="n">
        <f aca="false">'Regional Breakdown'!H13*'Regional Breakdown'!H41</f>
        <v>98605.6709</v>
      </c>
      <c r="I6" s="38" t="n">
        <f aca="false">'Regional Breakdown'!I13*'Regional Breakdown'!I41</f>
        <v>108466.23799</v>
      </c>
    </row>
    <row r="7" customFormat="false" ht="15" hidden="false" customHeight="true" outlineLevel="0" collapsed="false">
      <c r="A7" s="15" t="s">
        <v>163</v>
      </c>
      <c r="B7" s="39" t="n">
        <f aca="false">B5+B6</f>
        <v>2170230</v>
      </c>
      <c r="C7" s="39" t="n">
        <f aca="false">C5+C6</f>
        <v>2627543</v>
      </c>
      <c r="D7" s="39" t="n">
        <f aca="false">D5+D6</f>
        <v>3131266</v>
      </c>
      <c r="E7" s="39" t="n">
        <f aca="false">E5+E6</f>
        <v>3709070.0731579</v>
      </c>
      <c r="F7" s="39" t="n">
        <f aca="false">F5+F6</f>
        <v>4378517.52425018</v>
      </c>
      <c r="G7" s="39" t="n">
        <f aca="false">G5+G6</f>
        <v>5152637.61005215</v>
      </c>
      <c r="H7" s="39" t="n">
        <f aca="false">H5+H6</f>
        <v>6045378.81567094</v>
      </c>
      <c r="I7" s="39" t="n">
        <f aca="false">I5+I6</f>
        <v>7072194.2379934</v>
      </c>
    </row>
    <row r="8" customFormat="false" ht="15" hidden="false" customHeight="true" outlineLevel="0" collapsed="false">
      <c r="A8" s="15" t="s">
        <v>164</v>
      </c>
    </row>
    <row r="9" customFormat="false" ht="15" hidden="false" customHeight="true" outlineLevel="0" collapsed="false">
      <c r="A9" s="6" t="s">
        <v>165</v>
      </c>
      <c r="B9" s="24" t="n">
        <v>283675</v>
      </c>
      <c r="C9" s="24" t="n">
        <v>336878</v>
      </c>
      <c r="D9" s="24" t="n">
        <v>445336</v>
      </c>
      <c r="E9" s="23" t="n">
        <f aca="false">E5*Assumptions!E7</f>
        <v>527072.995107895</v>
      </c>
      <c r="F9" s="23" t="n">
        <f aca="false">F5*Assumptions!F7</f>
        <v>614474.608497775</v>
      </c>
      <c r="G9" s="23" t="n">
        <f aca="false">G5*Assumptions!G7</f>
        <v>713882.448838353</v>
      </c>
      <c r="H9" s="23" t="n">
        <f aca="false">H5*Assumptions!H7</f>
        <v>826601.467123161</v>
      </c>
      <c r="I9" s="23" t="n">
        <f aca="false">I5*Assumptions!I7</f>
        <v>954030.736000466</v>
      </c>
    </row>
    <row r="10" customFormat="false" ht="15" hidden="false" customHeight="true" outlineLevel="0" collapsed="false">
      <c r="A10" s="6" t="s">
        <v>166</v>
      </c>
      <c r="B10" s="24" t="n">
        <v>54687</v>
      </c>
      <c r="C10" s="24" t="n">
        <v>56387</v>
      </c>
      <c r="D10" s="24" t="n">
        <v>63151</v>
      </c>
      <c r="E10" s="23" t="n">
        <f aca="false">E6*Assumptions!E8</f>
        <v>68898.027</v>
      </c>
      <c r="F10" s="23" t="n">
        <f aca="false">F6*Assumptions!F8</f>
        <v>75787.8297</v>
      </c>
      <c r="G10" s="23" t="n">
        <f aca="false">G6*Assumptions!G8</f>
        <v>83366.61267</v>
      </c>
      <c r="H10" s="23" t="n">
        <f aca="false">H6*Assumptions!H8</f>
        <v>91703.273937</v>
      </c>
      <c r="I10" s="23" t="n">
        <f aca="false">I6*Assumptions!I8</f>
        <v>100873.6013307</v>
      </c>
    </row>
    <row r="11" customFormat="false" ht="15" hidden="false" customHeight="true" outlineLevel="0" collapsed="false">
      <c r="A11" s="15" t="s">
        <v>167</v>
      </c>
      <c r="B11" s="39" t="n">
        <f aca="false">B9+B10</f>
        <v>338362</v>
      </c>
      <c r="C11" s="39" t="n">
        <f aca="false">C9+C10</f>
        <v>393265</v>
      </c>
      <c r="D11" s="39" t="n">
        <f aca="false">D9+D10</f>
        <v>508487</v>
      </c>
      <c r="E11" s="39" t="n">
        <f aca="false">E9+E10</f>
        <v>595971.022107895</v>
      </c>
      <c r="F11" s="39" t="n">
        <f aca="false">F9+F10</f>
        <v>690262.438197775</v>
      </c>
      <c r="G11" s="39" t="n">
        <f aca="false">G9+G10</f>
        <v>797249.061508353</v>
      </c>
      <c r="H11" s="39" t="n">
        <f aca="false">H9+H10</f>
        <v>918304.741060161</v>
      </c>
      <c r="I11" s="39" t="n">
        <f aca="false">I9+I10</f>
        <v>1054904.33733117</v>
      </c>
    </row>
    <row r="12" customFormat="false" ht="15" hidden="false" customHeight="true" outlineLevel="0" collapsed="false">
      <c r="A12" s="15" t="s">
        <v>168</v>
      </c>
      <c r="B12" s="37" t="n">
        <f aca="false">B7-B11</f>
        <v>1831868</v>
      </c>
      <c r="C12" s="37" t="n">
        <f aca="false">C7-C11</f>
        <v>2234278</v>
      </c>
      <c r="D12" s="37" t="n">
        <f aca="false">D7-D11</f>
        <v>2622779</v>
      </c>
      <c r="E12" s="37" t="n">
        <f aca="false">E7-E11</f>
        <v>3113099.05105</v>
      </c>
      <c r="F12" s="37" t="n">
        <f aca="false">F7-F11</f>
        <v>3688255.0860524</v>
      </c>
      <c r="G12" s="37" t="n">
        <f aca="false">G7-G11</f>
        <v>4355388.5485438</v>
      </c>
      <c r="H12" s="37" t="n">
        <f aca="false">H7-H11</f>
        <v>5127074.07461078</v>
      </c>
      <c r="I12" s="37" t="n">
        <f aca="false">I7-I11</f>
        <v>6017289.90066223</v>
      </c>
    </row>
    <row r="14" customFormat="false" ht="15" hidden="false" customHeight="true" outlineLevel="0" collapsed="false">
      <c r="A14" s="15" t="s">
        <v>169</v>
      </c>
    </row>
    <row r="15" customFormat="false" ht="15" hidden="false" customHeight="true" outlineLevel="0" collapsed="false">
      <c r="A15" s="6" t="s">
        <v>170</v>
      </c>
      <c r="B15" s="24" t="n">
        <v>617745</v>
      </c>
      <c r="C15" s="24" t="n">
        <v>778714</v>
      </c>
      <c r="D15" s="24" t="n">
        <v>905943</v>
      </c>
      <c r="E15" s="23" t="n">
        <f aca="false">E7*Assumptions!E9</f>
        <v>1057084.97085</v>
      </c>
      <c r="F15" s="23" t="n">
        <f aca="false">F7*Assumptions!F9</f>
        <v>1225984.90679005</v>
      </c>
      <c r="G15" s="23" t="n">
        <f aca="false">G7*Assumptions!G9</f>
        <v>1416975.34276434</v>
      </c>
      <c r="H15" s="23" t="n">
        <f aca="false">H7*Assumptions!H9</f>
        <v>1632252.28023115</v>
      </c>
      <c r="I15" s="23" t="n">
        <f aca="false">I7*Assumptions!I9</f>
        <v>1874131.47306825</v>
      </c>
    </row>
    <row r="16" customFormat="false" ht="15" hidden="false" customHeight="true" outlineLevel="0" collapsed="false">
      <c r="A16" s="6" t="s">
        <v>171</v>
      </c>
      <c r="B16" s="24" t="n">
        <v>1068560</v>
      </c>
      <c r="C16" s="24" t="n">
        <v>1218844</v>
      </c>
      <c r="D16" s="24" t="n">
        <v>1379376</v>
      </c>
      <c r="E16" s="23" t="n">
        <f aca="false">E7*Assumptions!E10</f>
        <v>1594900.13145789</v>
      </c>
      <c r="F16" s="23" t="n">
        <f aca="false">F7*Assumptions!F10</f>
        <v>1838977.36018507</v>
      </c>
      <c r="G16" s="23" t="n">
        <f aca="false">G7*Assumptions!G10</f>
        <v>2112581.42012138</v>
      </c>
      <c r="H16" s="23" t="n">
        <f aca="false">H7*Assumptions!H10</f>
        <v>2418151.52626838</v>
      </c>
      <c r="I16" s="23" t="n">
        <f aca="false">I7*Assumptions!I10</f>
        <v>2758155.75281743</v>
      </c>
    </row>
    <row r="17" customFormat="false" ht="15" hidden="false" customHeight="true" outlineLevel="0" collapsed="false">
      <c r="A17" s="6" t="s">
        <v>172</v>
      </c>
      <c r="B17" s="24" t="n">
        <v>249649</v>
      </c>
      <c r="C17" s="24" t="n">
        <v>300332</v>
      </c>
      <c r="D17" s="24" t="n">
        <v>326045</v>
      </c>
      <c r="E17" s="23" t="n">
        <f aca="false">E7*Assumptions!E11</f>
        <v>378325.147462105</v>
      </c>
      <c r="F17" s="23" t="n">
        <f aca="false">F7*Assumptions!F11</f>
        <v>437851.752425018</v>
      </c>
      <c r="G17" s="23" t="n">
        <f aca="false">G7*Assumptions!G11</f>
        <v>504958.485785111</v>
      </c>
      <c r="H17" s="23" t="n">
        <f aca="false">H7*Assumptions!H11</f>
        <v>580356.366304411</v>
      </c>
      <c r="I17" s="23" t="n">
        <f aca="false">I7*Assumptions!I11</f>
        <v>664786.25837138</v>
      </c>
    </row>
    <row r="18" customFormat="false" ht="15" hidden="false" customHeight="true" outlineLevel="0" collapsed="false">
      <c r="A18" s="6" t="s">
        <v>173</v>
      </c>
      <c r="B18" s="24" t="n">
        <v>96843</v>
      </c>
      <c r="C18" s="24" t="n">
        <v>3990</v>
      </c>
      <c r="D18" s="24" t="n">
        <v>4036</v>
      </c>
      <c r="E18" s="24" t="n">
        <v>0</v>
      </c>
      <c r="F18" s="24" t="n">
        <v>0</v>
      </c>
      <c r="G18" s="24" t="n">
        <v>0</v>
      </c>
      <c r="H18" s="24" t="n">
        <v>0</v>
      </c>
      <c r="I18" s="24" t="n">
        <v>0</v>
      </c>
    </row>
    <row r="19" customFormat="false" ht="15" hidden="false" customHeight="true" outlineLevel="0" collapsed="false">
      <c r="A19" s="15" t="s">
        <v>174</v>
      </c>
      <c r="B19" s="39" t="n">
        <f aca="false">SUM(B15:B18)</f>
        <v>2032797</v>
      </c>
      <c r="C19" s="39" t="n">
        <f aca="false">SUM(C15:C18)</f>
        <v>2301880</v>
      </c>
      <c r="D19" s="39" t="n">
        <f aca="false">SUM(D15:D18)</f>
        <v>2615400</v>
      </c>
      <c r="E19" s="39" t="n">
        <f aca="false">SUM(E15:E18)</f>
        <v>3030310.24977</v>
      </c>
      <c r="F19" s="39" t="n">
        <f aca="false">SUM(F15:F18)</f>
        <v>3502814.01940014</v>
      </c>
      <c r="G19" s="39" t="n">
        <f aca="false">SUM(G15:G18)</f>
        <v>4034515.24867083</v>
      </c>
      <c r="H19" s="39" t="n">
        <f aca="false">SUM(H15:H18)</f>
        <v>4630760.17280394</v>
      </c>
      <c r="I19" s="39" t="n">
        <f aca="false">SUM(I15:I18)</f>
        <v>5297073.48425706</v>
      </c>
    </row>
    <row r="20" customFormat="false" ht="15" hidden="false" customHeight="true" outlineLevel="0" collapsed="false">
      <c r="A20" s="15" t="s">
        <v>175</v>
      </c>
      <c r="B20" s="37" t="n">
        <f aca="false">B12-B19</f>
        <v>-200929</v>
      </c>
      <c r="C20" s="37" t="n">
        <f aca="false">C12-C19</f>
        <v>-67602</v>
      </c>
      <c r="D20" s="37" t="n">
        <f aca="false">D12-D19</f>
        <v>7379</v>
      </c>
      <c r="E20" s="37" t="n">
        <f aca="false">E12-E19</f>
        <v>82788.8012799998</v>
      </c>
      <c r="F20" s="37" t="n">
        <f aca="false">F12-F19</f>
        <v>185441.06665226</v>
      </c>
      <c r="G20" s="37" t="n">
        <f aca="false">G12-G19</f>
        <v>320873.299872963</v>
      </c>
      <c r="H20" s="37" t="n">
        <f aca="false">H12-H19</f>
        <v>496313.901806839</v>
      </c>
      <c r="I20" s="37" t="n">
        <f aca="false">I12-I19</f>
        <v>720216.416405177</v>
      </c>
    </row>
    <row r="22" customFormat="false" ht="15" hidden="false" customHeight="true" outlineLevel="0" collapsed="false">
      <c r="A22" s="6" t="s">
        <v>176</v>
      </c>
      <c r="B22" s="24" t="n">
        <v>58828</v>
      </c>
      <c r="C22" s="24" t="n">
        <v>82706</v>
      </c>
      <c r="D22" s="24" t="n">
        <v>66218</v>
      </c>
      <c r="E22" s="23" t="n">
        <f aca="false">('Balance Sheet'!D5+'Balance Sheet'!D6+'Balance Sheet'!D11)*Assumptions!E16</f>
        <v>64415.96</v>
      </c>
      <c r="F22" s="23" t="n">
        <f aca="false">('Balance Sheet'!E5+'Balance Sheet'!E6+'Balance Sheet'!E11)*Assumptions!F16</f>
        <v>73277.7834100184</v>
      </c>
      <c r="G22" s="23" t="n">
        <f aca="false">('Balance Sheet'!F5+'Balance Sheet'!F6+'Balance Sheet'!F11)*Assumptions!G16</f>
        <v>87573.8668217066</v>
      </c>
      <c r="H22" s="23" t="n">
        <f aca="false">('Balance Sheet'!G5+'Balance Sheet'!G6+'Balance Sheet'!G11)*Assumptions!H16</f>
        <v>106971.444058502</v>
      </c>
      <c r="I22" s="23" t="n">
        <f aca="false">('Balance Sheet'!H5+'Balance Sheet'!H6+'Balance Sheet'!H11)*Assumptions!I16</f>
        <v>134295.074821582</v>
      </c>
    </row>
    <row r="23" customFormat="false" ht="15" hidden="false" customHeight="true" outlineLevel="0" collapsed="false">
      <c r="A23" s="6" t="s">
        <v>177</v>
      </c>
      <c r="B23" s="24" t="n">
        <v>-3801</v>
      </c>
      <c r="C23" s="24" t="n">
        <v>-3721</v>
      </c>
      <c r="D23" s="24" t="n">
        <v>-876</v>
      </c>
      <c r="E23" s="24" t="n">
        <v>0</v>
      </c>
      <c r="F23" s="24" t="n">
        <v>0</v>
      </c>
      <c r="G23" s="24" t="n">
        <v>0</v>
      </c>
      <c r="H23" s="24" t="n">
        <v>0</v>
      </c>
      <c r="I23" s="24" t="n">
        <v>0</v>
      </c>
    </row>
    <row r="24" customFormat="false" ht="15" hidden="false" customHeight="true" outlineLevel="0" collapsed="false">
      <c r="A24" s="6" t="s">
        <v>178</v>
      </c>
      <c r="B24" s="24" t="n">
        <v>-4673</v>
      </c>
      <c r="C24" s="24" t="n">
        <v>17294</v>
      </c>
      <c r="D24" s="24" t="n">
        <v>-3258</v>
      </c>
      <c r="E24" s="24" t="n">
        <v>0</v>
      </c>
      <c r="F24" s="24" t="n">
        <v>0</v>
      </c>
      <c r="G24" s="24" t="n">
        <v>0</v>
      </c>
      <c r="H24" s="24" t="n">
        <v>0</v>
      </c>
      <c r="I24" s="24" t="n">
        <v>0</v>
      </c>
    </row>
    <row r="25" customFormat="false" ht="15" hidden="false" customHeight="true" outlineLevel="0" collapsed="false">
      <c r="A25" s="15" t="s">
        <v>179</v>
      </c>
      <c r="B25" s="39" t="n">
        <f aca="false">B20+B22+B23+B24</f>
        <v>-150575</v>
      </c>
      <c r="C25" s="39" t="n">
        <f aca="false">C20+C22+C23+C24</f>
        <v>28677</v>
      </c>
      <c r="D25" s="39" t="n">
        <f aca="false">D20+D22+D23+D24</f>
        <v>69463</v>
      </c>
      <c r="E25" s="39" t="n">
        <f aca="false">E20+E22+E23+E24</f>
        <v>147204.76128</v>
      </c>
      <c r="F25" s="39" t="n">
        <f aca="false">F20+F22+F23+F24</f>
        <v>258718.850062278</v>
      </c>
      <c r="G25" s="39" t="n">
        <f aca="false">G20+G22+G23+G24</f>
        <v>408447.16669467</v>
      </c>
      <c r="H25" s="39" t="n">
        <f aca="false">H20+H22+H23+H24</f>
        <v>603285.34586534</v>
      </c>
      <c r="I25" s="39" t="n">
        <f aca="false">I20+I22+I23+I24</f>
        <v>854511.491226759</v>
      </c>
    </row>
    <row r="26" customFormat="false" ht="15" hidden="false" customHeight="true" outlineLevel="0" collapsed="false">
      <c r="A26" s="6" t="s">
        <v>180</v>
      </c>
      <c r="B26" s="24" t="n">
        <v>13935</v>
      </c>
      <c r="C26" s="24" t="n">
        <v>24049</v>
      </c>
      <c r="D26" s="24" t="n">
        <v>23552</v>
      </c>
      <c r="E26" s="23" t="n">
        <f aca="false">E25*Assumptions!E15</f>
        <v>44161.4283839999</v>
      </c>
      <c r="F26" s="23" t="n">
        <f aca="false">F25*Assumptions!F15</f>
        <v>72441.2780174379</v>
      </c>
      <c r="G26" s="23" t="n">
        <f aca="false">G25*Assumptions!G15</f>
        <v>110280.735007561</v>
      </c>
      <c r="H26" s="23" t="n">
        <f aca="false">H25*Assumptions!H15</f>
        <v>156854.189924989</v>
      </c>
      <c r="I26" s="23" t="n">
        <f aca="false">I25*Assumptions!I15</f>
        <v>213627.87280669</v>
      </c>
    </row>
    <row r="27" customFormat="false" ht="15" hidden="false" customHeight="true" outlineLevel="0" collapsed="false">
      <c r="A27" s="15" t="s">
        <v>181</v>
      </c>
      <c r="B27" s="32" t="n">
        <f aca="false">B25-B26</f>
        <v>-164510</v>
      </c>
      <c r="C27" s="32" t="n">
        <f aca="false">C25-C26</f>
        <v>4628</v>
      </c>
      <c r="D27" s="32" t="n">
        <f aca="false">D25-D26</f>
        <v>45911</v>
      </c>
      <c r="E27" s="32" t="n">
        <f aca="false">E25-E26</f>
        <v>103043.332896</v>
      </c>
      <c r="F27" s="32" t="n">
        <f aca="false">F25-F26</f>
        <v>186277.57204484</v>
      </c>
      <c r="G27" s="32" t="n">
        <f aca="false">G25-G26</f>
        <v>298166.431687109</v>
      </c>
      <c r="H27" s="32" t="n">
        <f aca="false">H25-H26</f>
        <v>446431.155940352</v>
      </c>
      <c r="I27" s="32" t="n">
        <f aca="false">I25-I26</f>
        <v>640883.618420069</v>
      </c>
    </row>
    <row r="29" customFormat="false" ht="15" hidden="false" customHeight="true" outlineLevel="0" collapsed="false">
      <c r="A29" s="6" t="s">
        <v>182</v>
      </c>
      <c r="B29" s="24" t="n">
        <v>49877</v>
      </c>
      <c r="C29" s="24" t="n">
        <v>51819</v>
      </c>
      <c r="D29" s="24" t="n">
        <v>53194</v>
      </c>
      <c r="E29" s="23" t="n">
        <f aca="false">D29*(1+Assumptions!E17)</f>
        <v>53725.94</v>
      </c>
      <c r="F29" s="23" t="n">
        <f aca="false">E29*(1+Assumptions!F17)</f>
        <v>54263.1994</v>
      </c>
      <c r="G29" s="23" t="n">
        <f aca="false">F29*(1+Assumptions!G17)</f>
        <v>54805.831394</v>
      </c>
      <c r="H29" s="23" t="n">
        <f aca="false">G29*(1+Assumptions!H17)</f>
        <v>55353.88970794</v>
      </c>
      <c r="I29" s="23" t="n">
        <f aca="false">H29*(1+Assumptions!I17)</f>
        <v>55907.4286050194</v>
      </c>
    </row>
    <row r="30" customFormat="false" ht="15" hidden="false" customHeight="true" outlineLevel="0" collapsed="false">
      <c r="A30" s="15" t="s">
        <v>183</v>
      </c>
      <c r="B30" s="44" t="n">
        <f aca="false">B27/B29</f>
        <v>-3.29831385207611</v>
      </c>
      <c r="C30" s="44" t="n">
        <f aca="false">C27/C29</f>
        <v>0.0893108705301144</v>
      </c>
      <c r="D30" s="44" t="n">
        <f aca="false">D27/D29</f>
        <v>0.863086062337858</v>
      </c>
      <c r="E30" s="44" t="n">
        <f aca="false">E27/E29</f>
        <v>1.91794378834507</v>
      </c>
      <c r="F30" s="44" t="n">
        <f aca="false">F27/F29</f>
        <v>3.43285272716227</v>
      </c>
      <c r="G30" s="44" t="n">
        <f aca="false">G27/G29</f>
        <v>5.44041435196167</v>
      </c>
      <c r="H30" s="44" t="n">
        <f aca="false">H27/H29</f>
        <v>8.0650367715047</v>
      </c>
      <c r="I30" s="44" t="n">
        <f aca="false">I27/I29</f>
        <v>11.4632998585546</v>
      </c>
    </row>
    <row r="32" customFormat="false" ht="15" hidden="false" customHeight="true" outlineLevel="0" collapsed="false">
      <c r="A32" s="16" t="s">
        <v>184</v>
      </c>
      <c r="B32" s="24" t="n">
        <v>432271</v>
      </c>
      <c r="C32" s="24" t="n">
        <v>504770</v>
      </c>
      <c r="D32" s="24" t="n">
        <v>528153</v>
      </c>
      <c r="E32" s="23" t="n">
        <f aca="false">E7*Assumptions!E12</f>
        <v>593451.211705263</v>
      </c>
      <c r="F32" s="23" t="n">
        <f aca="false">F7*Assumptions!F12</f>
        <v>665534.663686027</v>
      </c>
      <c r="G32" s="23" t="n">
        <f aca="false">G7*Assumptions!G12</f>
        <v>747132.453457561</v>
      </c>
      <c r="H32" s="23" t="n">
        <f aca="false">H7*Assumptions!H12</f>
        <v>846353.034193932</v>
      </c>
      <c r="I32" s="23" t="n">
        <f aca="false">I7*Assumptions!I12</f>
        <v>954746.222129109</v>
      </c>
    </row>
    <row r="33" customFormat="false" ht="15" hidden="false" customHeight="true" outlineLevel="0" collapsed="false">
      <c r="A33" s="16" t="s">
        <v>185</v>
      </c>
      <c r="E33" s="23" t="n">
        <f aca="false">E7*Assumptions!E13</f>
        <v>29672.5605852632</v>
      </c>
      <c r="F33" s="23" t="n">
        <f aca="false">F7*Assumptions!F13</f>
        <v>35028.1401940014</v>
      </c>
      <c r="G33" s="23" t="n">
        <f aca="false">G7*Assumptions!G13</f>
        <v>41221.1008804172</v>
      </c>
      <c r="H33" s="23" t="n">
        <f aca="false">H7*Assumptions!H13</f>
        <v>48363.0305253676</v>
      </c>
      <c r="I33" s="23" t="n">
        <f aca="false">I7*Assumptions!I13</f>
        <v>56577.5539039472</v>
      </c>
      <c r="K33" s="18" t="s">
        <v>186</v>
      </c>
    </row>
    <row r="34" customFormat="false" ht="15" hidden="false" customHeight="true" outlineLevel="0" collapsed="false">
      <c r="A34" s="16" t="s">
        <v>187</v>
      </c>
      <c r="E34" s="23" t="n">
        <f aca="false">E7*Assumptions!E14</f>
        <v>85308.6116826316</v>
      </c>
      <c r="F34" s="23" t="n">
        <f aca="false">F7*Assumptions!F14</f>
        <v>100705.903057754</v>
      </c>
      <c r="G34" s="23" t="n">
        <f aca="false">G7*Assumptions!G14</f>
        <v>118510.665031199</v>
      </c>
      <c r="H34" s="23" t="n">
        <f aca="false">H7*Assumptions!H14</f>
        <v>139043.712760432</v>
      </c>
      <c r="I34" s="23" t="n">
        <f aca="false">I7*Assumptions!I14</f>
        <v>162660.467473848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9" min="2" style="1" width="13.5"/>
    <col collapsed="false" customWidth="true" hidden="false" outlineLevel="0" max="10" min="10" style="1" width="2"/>
    <col collapsed="false" customWidth="true" hidden="false" outlineLevel="0" max="11" min="11" style="1" width="60"/>
  </cols>
  <sheetData>
    <row r="1" customFormat="false" ht="15" hidden="false" customHeight="true" outlineLevel="0" collapsed="false">
      <c r="A1" s="12" t="s">
        <v>188</v>
      </c>
    </row>
    <row r="2" customFormat="false" ht="15" hidden="false" customHeight="true" outlineLevel="0" collapsed="false">
      <c r="A2" s="11" t="s">
        <v>25</v>
      </c>
    </row>
    <row r="3" customFormat="false" ht="15" hidden="false" customHeight="true" outlineLevel="0" collapsed="false">
      <c r="A3" s="13"/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4" t="s">
        <v>32</v>
      </c>
      <c r="I3" s="14" t="s">
        <v>33</v>
      </c>
    </row>
    <row r="4" customFormat="false" ht="15" hidden="false" customHeight="true" outlineLevel="0" collapsed="false">
      <c r="A4" s="15" t="s">
        <v>189</v>
      </c>
    </row>
    <row r="5" customFormat="false" ht="15" hidden="false" customHeight="true" outlineLevel="0" collapsed="false">
      <c r="A5" s="6" t="s">
        <v>190</v>
      </c>
      <c r="B5" s="24" t="n">
        <v>387987</v>
      </c>
      <c r="C5" s="24" t="n">
        <v>512667</v>
      </c>
      <c r="D5" s="24" t="n">
        <v>882242</v>
      </c>
      <c r="E5" s="38" t="n">
        <f aca="false">'Cash Flow'!E38</f>
        <v>1135436.95457196</v>
      </c>
      <c r="F5" s="38" t="n">
        <f aca="false">'Cash Flow'!F38</f>
        <v>1543896.48062019</v>
      </c>
      <c r="G5" s="38" t="n">
        <f aca="false">'Cash Flow'!G38</f>
        <v>2098112.97310004</v>
      </c>
      <c r="H5" s="38" t="n">
        <f aca="false">'Cash Flow'!H38</f>
        <v>2878788.13775949</v>
      </c>
      <c r="I5" s="38" t="n">
        <f aca="false">'Cash Flow'!I38</f>
        <v>3921319.24308512</v>
      </c>
    </row>
    <row r="6" customFormat="false" ht="15" hidden="false" customHeight="true" outlineLevel="0" collapsed="false">
      <c r="A6" s="6" t="s">
        <v>191</v>
      </c>
      <c r="B6" s="24" t="n">
        <v>1000245</v>
      </c>
      <c r="C6" s="24" t="n">
        <v>1556828</v>
      </c>
      <c r="D6" s="24" t="n">
        <v>821552</v>
      </c>
      <c r="E6" s="23" t="n">
        <f aca="false">D6</f>
        <v>821552</v>
      </c>
      <c r="F6" s="23" t="n">
        <f aca="false">E6</f>
        <v>821552</v>
      </c>
      <c r="G6" s="23" t="n">
        <f aca="false">F6</f>
        <v>821552</v>
      </c>
      <c r="H6" s="23" t="n">
        <f aca="false">G6</f>
        <v>821552</v>
      </c>
      <c r="I6" s="23" t="n">
        <f aca="false">H6</f>
        <v>821552</v>
      </c>
      <c r="K6" s="18" t="s">
        <v>192</v>
      </c>
    </row>
    <row r="7" customFormat="false" ht="15" hidden="false" customHeight="true" outlineLevel="0" collapsed="false">
      <c r="A7" s="6" t="s">
        <v>193</v>
      </c>
      <c r="B7" s="24" t="n">
        <v>295303</v>
      </c>
      <c r="C7" s="24" t="n">
        <v>334829</v>
      </c>
      <c r="D7" s="24" t="n">
        <v>419146</v>
      </c>
      <c r="E7" s="23" t="n">
        <f aca="false">'Income Statement'!E7*Assumptions!E20/365</f>
        <v>497929.955026676</v>
      </c>
      <c r="F7" s="23" t="n">
        <f aca="false">'Income Statement'!F7*Assumptions!F20/365</f>
        <v>587800.982707558</v>
      </c>
      <c r="G7" s="23" t="n">
        <f aca="false">'Income Statement'!G7*Assumptions!G20/365</f>
        <v>677607.137760283</v>
      </c>
      <c r="H7" s="23" t="n">
        <f aca="false">'Income Statement'!H7*Assumptions!H20/365</f>
        <v>795008.720964946</v>
      </c>
      <c r="I7" s="23" t="n">
        <f aca="false">'Income Statement'!I7*Assumptions!I20/365</f>
        <v>910666.107358054</v>
      </c>
    </row>
    <row r="8" customFormat="false" ht="15" hidden="false" customHeight="true" outlineLevel="0" collapsed="false">
      <c r="A8" s="6" t="s">
        <v>194</v>
      </c>
      <c r="B8" s="24" t="n">
        <v>99326</v>
      </c>
      <c r="C8" s="24" t="n">
        <v>148693</v>
      </c>
      <c r="D8" s="24" t="n">
        <v>226184</v>
      </c>
      <c r="E8" s="23" t="n">
        <f aca="false">'Income Statement'!E7*Assumptions!E21</f>
        <v>267053.045267368</v>
      </c>
      <c r="F8" s="23" t="n">
        <f aca="false">'Income Statement'!F7*Assumptions!F21</f>
        <v>315253.261746013</v>
      </c>
      <c r="G8" s="23" t="n">
        <f aca="false">'Income Statement'!G7*Assumptions!G21</f>
        <v>370989.907923755</v>
      </c>
      <c r="H8" s="23" t="n">
        <f aca="false">'Income Statement'!H7*Assumptions!H21</f>
        <v>435267.274728308</v>
      </c>
      <c r="I8" s="23" t="n">
        <f aca="false">'Income Statement'!I7*Assumptions!I21</f>
        <v>509197.985135525</v>
      </c>
    </row>
    <row r="9" customFormat="false" ht="15" hidden="false" customHeight="true" outlineLevel="0" collapsed="false">
      <c r="A9" s="6" t="s">
        <v>195</v>
      </c>
      <c r="B9" s="24" t="n">
        <v>88679</v>
      </c>
      <c r="C9" s="24" t="n">
        <v>80586</v>
      </c>
      <c r="D9" s="24" t="n">
        <v>100611</v>
      </c>
      <c r="E9" s="23" t="n">
        <f aca="false">'Income Statement'!E7*Assumptions!E23</f>
        <v>118690.242341053</v>
      </c>
      <c r="F9" s="23" t="n">
        <f aca="false">'Income Statement'!F7*Assumptions!F23</f>
        <v>140112.560776006</v>
      </c>
      <c r="G9" s="23" t="n">
        <f aca="false">'Income Statement'!G7*Assumptions!G23</f>
        <v>164884.403521669</v>
      </c>
      <c r="H9" s="23" t="n">
        <f aca="false">'Income Statement'!H7*Assumptions!H23</f>
        <v>193452.12210147</v>
      </c>
      <c r="I9" s="23" t="n">
        <f aca="false">'Income Statement'!I7*Assumptions!I23</f>
        <v>226310.215615789</v>
      </c>
    </row>
    <row r="10" customFormat="false" ht="15" hidden="false" customHeight="true" outlineLevel="0" collapsed="false">
      <c r="A10" s="15" t="s">
        <v>196</v>
      </c>
      <c r="B10" s="39" t="n">
        <f aca="false">SUM(B5:B9)</f>
        <v>1871540</v>
      </c>
      <c r="C10" s="39" t="n">
        <f aca="false">SUM(C5:C9)</f>
        <v>2633603</v>
      </c>
      <c r="D10" s="39" t="n">
        <f aca="false">SUM(D5:D9)</f>
        <v>2449735</v>
      </c>
      <c r="E10" s="39" t="n">
        <f aca="false">SUM(E5:E9)</f>
        <v>2840662.19720705</v>
      </c>
      <c r="F10" s="39" t="n">
        <f aca="false">SUM(F5:F9)</f>
        <v>3408615.28584976</v>
      </c>
      <c r="G10" s="39" t="n">
        <f aca="false">SUM(G5:G9)</f>
        <v>4133146.42230575</v>
      </c>
      <c r="H10" s="39" t="n">
        <f aca="false">SUM(H5:H9)</f>
        <v>5124068.25555422</v>
      </c>
      <c r="I10" s="39" t="n">
        <f aca="false">SUM(I5:I9)</f>
        <v>6389045.55119449</v>
      </c>
    </row>
    <row r="11" customFormat="false" ht="15" hidden="false" customHeight="true" outlineLevel="0" collapsed="false">
      <c r="A11" s="6" t="s">
        <v>197</v>
      </c>
      <c r="B11" s="24" t="n">
        <v>325703</v>
      </c>
      <c r="C11" s="24" t="n">
        <v>154212</v>
      </c>
      <c r="D11" s="24" t="n">
        <v>136662</v>
      </c>
      <c r="E11" s="23" t="n">
        <f aca="false">D11</f>
        <v>136662</v>
      </c>
      <c r="F11" s="23" t="n">
        <f aca="false">E11</f>
        <v>136662</v>
      </c>
      <c r="G11" s="23" t="n">
        <f aca="false">F11</f>
        <v>136662</v>
      </c>
      <c r="H11" s="23" t="n">
        <f aca="false">G11</f>
        <v>136662</v>
      </c>
      <c r="I11" s="23" t="n">
        <f aca="false">H11</f>
        <v>136662</v>
      </c>
    </row>
    <row r="12" customFormat="false" ht="15" hidden="false" customHeight="true" outlineLevel="0" collapsed="false">
      <c r="A12" s="6" t="s">
        <v>198</v>
      </c>
      <c r="B12" s="24" t="n">
        <v>103331</v>
      </c>
      <c r="C12" s="24" t="n">
        <v>114165</v>
      </c>
      <c r="D12" s="24" t="n">
        <v>141869</v>
      </c>
      <c r="E12" s="23" t="n">
        <f aca="false">D12-'Cash Flow'!E19-'Income Statement'!E33</f>
        <v>175250.630658421</v>
      </c>
      <c r="F12" s="23" t="n">
        <f aca="false">E12-'Cash Flow'!F19-'Income Statement'!F33</f>
        <v>214657.288376673</v>
      </c>
      <c r="G12" s="23" t="n">
        <f aca="false">F12-'Cash Flow'!G19-'Income Statement'!G33</f>
        <v>261031.026867142</v>
      </c>
      <c r="H12" s="23" t="n">
        <f aca="false">G12-'Cash Flow'!H19-'Income Statement'!H33</f>
        <v>315439.436208181</v>
      </c>
      <c r="I12" s="23" t="n">
        <f aca="false">H12-'Cash Flow'!I19-'Income Statement'!I33</f>
        <v>379089.184350121</v>
      </c>
    </row>
    <row r="13" customFormat="false" ht="15" hidden="false" customHeight="true" outlineLevel="0" collapsed="false">
      <c r="A13" s="6" t="s">
        <v>199</v>
      </c>
      <c r="B13" s="24" t="n">
        <v>106229</v>
      </c>
      <c r="C13" s="24" t="n">
        <v>154484</v>
      </c>
      <c r="D13" s="24" t="n">
        <v>213794</v>
      </c>
      <c r="E13" s="23" t="n">
        <f aca="false">D13-'Cash Flow'!E20-'Income Statement'!E34</f>
        <v>284266.33139</v>
      </c>
      <c r="F13" s="23" t="n">
        <f aca="false">E13-'Cash Flow'!F20-'Income Statement'!F34</f>
        <v>367458.164350753</v>
      </c>
      <c r="G13" s="23" t="n">
        <f aca="false">F13-'Cash Flow'!G20-'Income Statement'!G34</f>
        <v>465358.278941744</v>
      </c>
      <c r="H13" s="23" t="n">
        <f aca="false">G13-'Cash Flow'!H20-'Income Statement'!H34</f>
        <v>580220.476439492</v>
      </c>
      <c r="I13" s="23" t="n">
        <f aca="false">H13-'Cash Flow'!I20-'Income Statement'!I34</f>
        <v>714592.166961367</v>
      </c>
    </row>
    <row r="14" customFormat="false" ht="15" hidden="false" customHeight="true" outlineLevel="0" collapsed="false">
      <c r="A14" s="6" t="s">
        <v>200</v>
      </c>
      <c r="B14" s="24" t="n">
        <v>251071</v>
      </c>
      <c r="C14" s="24" t="n">
        <v>216230</v>
      </c>
      <c r="D14" s="24" t="n">
        <v>200821</v>
      </c>
      <c r="E14" s="23" t="n">
        <f aca="false">D14</f>
        <v>200821</v>
      </c>
      <c r="F14" s="23" t="n">
        <f aca="false">E14</f>
        <v>200821</v>
      </c>
      <c r="G14" s="23" t="n">
        <f aca="false">F14</f>
        <v>200821</v>
      </c>
      <c r="H14" s="23" t="n">
        <f aca="false">G14</f>
        <v>200821</v>
      </c>
      <c r="I14" s="23" t="n">
        <f aca="false">H14</f>
        <v>200821</v>
      </c>
    </row>
    <row r="15" customFormat="false" ht="15" hidden="false" customHeight="true" outlineLevel="0" collapsed="false">
      <c r="A15" s="6" t="s">
        <v>201</v>
      </c>
      <c r="B15" s="24" t="n">
        <v>122194</v>
      </c>
      <c r="C15" s="24" t="n">
        <v>160814</v>
      </c>
      <c r="D15" s="24" t="n">
        <v>218991</v>
      </c>
      <c r="E15" s="23" t="n">
        <f aca="false">'Income Statement'!E7*Assumptions!E22</f>
        <v>259634.905121053</v>
      </c>
      <c r="F15" s="23" t="n">
        <f aca="false">'Income Statement'!F7*Assumptions!F22</f>
        <v>306496.226697512</v>
      </c>
      <c r="G15" s="23" t="n">
        <f aca="false">'Income Statement'!G7*Assumptions!G22</f>
        <v>360684.63270365</v>
      </c>
      <c r="H15" s="23" t="n">
        <f aca="false">'Income Statement'!H7*Assumptions!H22</f>
        <v>423176.517096966</v>
      </c>
      <c r="I15" s="23" t="n">
        <f aca="false">'Income Statement'!I7*Assumptions!I22</f>
        <v>495053.596659538</v>
      </c>
    </row>
    <row r="16" customFormat="false" ht="15" hidden="false" customHeight="true" outlineLevel="0" collapsed="false">
      <c r="A16" s="6" t="s">
        <v>202</v>
      </c>
      <c r="B16" s="24" t="n">
        <v>75247</v>
      </c>
      <c r="C16" s="24" t="n">
        <v>115254</v>
      </c>
      <c r="D16" s="24" t="n">
        <v>165602</v>
      </c>
      <c r="E16" s="23" t="n">
        <f aca="false">'Income Statement'!E7*Assumptions!E24</f>
        <v>196580.713877368</v>
      </c>
      <c r="F16" s="23" t="n">
        <f aca="false">'Income Statement'!F7*Assumptions!F24</f>
        <v>232061.428785259</v>
      </c>
      <c r="G16" s="23" t="n">
        <f aca="false">'Income Statement'!G7*Assumptions!G24</f>
        <v>273089.793332764</v>
      </c>
      <c r="H16" s="23" t="n">
        <f aca="false">'Income Statement'!H7*Assumptions!H24</f>
        <v>320405.07723056</v>
      </c>
      <c r="I16" s="23" t="n">
        <f aca="false">'Income Statement'!I7*Assumptions!I24</f>
        <v>374826.29461365</v>
      </c>
    </row>
    <row r="17" customFormat="false" ht="15" hidden="false" customHeight="true" outlineLevel="0" collapsed="false">
      <c r="A17" s="6" t="s">
        <v>203</v>
      </c>
      <c r="B17" s="24" t="n">
        <v>42316</v>
      </c>
      <c r="C17" s="24" t="n">
        <v>37563</v>
      </c>
      <c r="D17" s="24" t="n">
        <v>35225</v>
      </c>
      <c r="E17" s="23" t="n">
        <f aca="false">D17</f>
        <v>35225</v>
      </c>
      <c r="F17" s="23" t="n">
        <f aca="false">E17</f>
        <v>35225</v>
      </c>
      <c r="G17" s="23" t="n">
        <f aca="false">F17</f>
        <v>35225</v>
      </c>
      <c r="H17" s="23" t="n">
        <f aca="false">G17</f>
        <v>35225</v>
      </c>
      <c r="I17" s="23" t="n">
        <f aca="false">H17</f>
        <v>35225</v>
      </c>
    </row>
    <row r="18" customFormat="false" ht="15" hidden="false" customHeight="true" outlineLevel="0" collapsed="false">
      <c r="A18" s="6" t="s">
        <v>204</v>
      </c>
      <c r="B18" s="24" t="n">
        <v>173761</v>
      </c>
      <c r="C18" s="24" t="n">
        <v>209508</v>
      </c>
      <c r="D18" s="24" t="n">
        <v>291452</v>
      </c>
      <c r="E18" s="23" t="n">
        <f aca="false">D18</f>
        <v>291452</v>
      </c>
      <c r="F18" s="23" t="n">
        <f aca="false">E18</f>
        <v>291452</v>
      </c>
      <c r="G18" s="23" t="n">
        <f aca="false">F18</f>
        <v>291452</v>
      </c>
      <c r="H18" s="23" t="n">
        <f aca="false">G18</f>
        <v>291452</v>
      </c>
      <c r="I18" s="23" t="n">
        <f aca="false">H18</f>
        <v>291452</v>
      </c>
    </row>
    <row r="19" customFormat="false" ht="15" hidden="false" customHeight="true" outlineLevel="0" collapsed="false">
      <c r="A19" s="15" t="s">
        <v>205</v>
      </c>
      <c r="B19" s="32" t="n">
        <f aca="false">B10+SUM(B11:B18)</f>
        <v>3071392</v>
      </c>
      <c r="C19" s="32" t="n">
        <f aca="false">C10+SUM(C11:C18)</f>
        <v>3795833</v>
      </c>
      <c r="D19" s="32" t="n">
        <f aca="false">D10+SUM(D11:D18)</f>
        <v>3854151</v>
      </c>
      <c r="E19" s="32" t="n">
        <f aca="false">E10+SUM(E11:E18)</f>
        <v>4420554.77825389</v>
      </c>
      <c r="F19" s="32" t="n">
        <f aca="false">F10+SUM(F11:F18)</f>
        <v>5193448.39405996</v>
      </c>
      <c r="G19" s="32" t="n">
        <f aca="false">G10+SUM(G11:G18)</f>
        <v>6157470.15415105</v>
      </c>
      <c r="H19" s="32" t="n">
        <f aca="false">H10+SUM(H11:H18)</f>
        <v>7427469.76252941</v>
      </c>
      <c r="I19" s="32" t="n">
        <f aca="false">I10+SUM(I11:I18)</f>
        <v>9016766.79377917</v>
      </c>
    </row>
    <row r="21" customFormat="false" ht="15" hidden="false" customHeight="true" outlineLevel="0" collapsed="false">
      <c r="A21" s="15" t="s">
        <v>206</v>
      </c>
    </row>
    <row r="22" customFormat="false" ht="15" hidden="false" customHeight="true" outlineLevel="0" collapsed="false">
      <c r="A22" s="6" t="s">
        <v>207</v>
      </c>
      <c r="B22" s="24" t="n">
        <v>9106</v>
      </c>
      <c r="C22" s="24" t="n">
        <v>3649</v>
      </c>
      <c r="D22" s="24" t="n">
        <v>24764</v>
      </c>
      <c r="E22" s="23" t="n">
        <f aca="false">'Income Statement'!E7*Assumptions!E25</f>
        <v>22254.4204389474</v>
      </c>
      <c r="F22" s="23" t="n">
        <f aca="false">'Income Statement'!F7*Assumptions!F25</f>
        <v>26271.1051455011</v>
      </c>
      <c r="G22" s="23" t="n">
        <f aca="false">'Income Statement'!G7*Assumptions!G25</f>
        <v>30915.8256603129</v>
      </c>
      <c r="H22" s="23" t="n">
        <f aca="false">'Income Statement'!H7*Assumptions!H25</f>
        <v>36272.2728940257</v>
      </c>
      <c r="I22" s="23" t="n">
        <f aca="false">'Income Statement'!I7*Assumptions!I25</f>
        <v>42433.1654279604</v>
      </c>
    </row>
    <row r="23" customFormat="false" ht="15" hidden="false" customHeight="true" outlineLevel="0" collapsed="false">
      <c r="A23" s="6" t="s">
        <v>208</v>
      </c>
      <c r="B23" s="24" t="n">
        <v>53462</v>
      </c>
      <c r="C23" s="24" t="n">
        <v>67442</v>
      </c>
      <c r="D23" s="24" t="n">
        <v>99195</v>
      </c>
      <c r="E23" s="23" t="n">
        <f aca="false">'Income Statement'!E7*Assumptions!E26</f>
        <v>118690.242341053</v>
      </c>
      <c r="F23" s="23" t="n">
        <f aca="false">'Income Statement'!F7*Assumptions!F26</f>
        <v>140112.560776006</v>
      </c>
      <c r="G23" s="23" t="n">
        <f aca="false">'Income Statement'!G7*Assumptions!G26</f>
        <v>164884.403521669</v>
      </c>
      <c r="H23" s="23" t="n">
        <f aca="false">'Income Statement'!H7*Assumptions!H26</f>
        <v>193452.12210147</v>
      </c>
      <c r="I23" s="23" t="n">
        <f aca="false">'Income Statement'!I7*Assumptions!I26</f>
        <v>226310.215615789</v>
      </c>
    </row>
    <row r="24" customFormat="false" ht="15" hidden="false" customHeight="true" outlineLevel="0" collapsed="false">
      <c r="A24" s="6" t="s">
        <v>209</v>
      </c>
      <c r="B24" s="24" t="n">
        <v>78169</v>
      </c>
      <c r="C24" s="24" t="n">
        <v>102043</v>
      </c>
      <c r="D24" s="24" t="n">
        <v>132003</v>
      </c>
      <c r="E24" s="23" t="n">
        <f aca="false">'Income Statement'!E7*Assumptions!E27</f>
        <v>155780.943072632</v>
      </c>
      <c r="F24" s="23" t="n">
        <f aca="false">'Income Statement'!F7*Assumptions!F27</f>
        <v>183897.736018507</v>
      </c>
      <c r="G24" s="23" t="n">
        <f aca="false">'Income Statement'!G7*Assumptions!G27</f>
        <v>216410.77962219</v>
      </c>
      <c r="H24" s="23" t="n">
        <f aca="false">'Income Statement'!H7*Assumptions!H27</f>
        <v>253905.91025818</v>
      </c>
      <c r="I24" s="23" t="n">
        <f aca="false">'Income Statement'!I7*Assumptions!I27</f>
        <v>297032.157995723</v>
      </c>
    </row>
    <row r="25" customFormat="false" ht="15" hidden="false" customHeight="true" outlineLevel="0" collapsed="false">
      <c r="A25" s="6" t="s">
        <v>210</v>
      </c>
      <c r="B25" s="24" t="n">
        <v>94074</v>
      </c>
      <c r="C25" s="24" t="n">
        <v>125135</v>
      </c>
      <c r="D25" s="24" t="n">
        <v>166861</v>
      </c>
      <c r="E25" s="23" t="n">
        <f aca="false">'Income Statement'!E7*Assumptions!E28</f>
        <v>192871.643804211</v>
      </c>
      <c r="F25" s="23" t="n">
        <f aca="false">'Income Statement'!F7*Assumptions!F28</f>
        <v>227682.911261009</v>
      </c>
      <c r="G25" s="23" t="n">
        <f aca="false">'Income Statement'!G7*Assumptions!G28</f>
        <v>267937.155722712</v>
      </c>
      <c r="H25" s="23" t="n">
        <f aca="false">'Income Statement'!H7*Assumptions!H28</f>
        <v>314359.698414889</v>
      </c>
      <c r="I25" s="23" t="n">
        <f aca="false">'Income Statement'!I7*Assumptions!I28</f>
        <v>367754.100375657</v>
      </c>
    </row>
    <row r="26" customFormat="false" ht="15" hidden="false" customHeight="true" outlineLevel="0" collapsed="false">
      <c r="A26" s="6" t="s">
        <v>211</v>
      </c>
      <c r="B26" s="24" t="n">
        <v>35047</v>
      </c>
      <c r="C26" s="24" t="n">
        <v>32693</v>
      </c>
      <c r="D26" s="24" t="n">
        <v>39703</v>
      </c>
      <c r="E26" s="23" t="n">
        <f aca="false">D26</f>
        <v>39703</v>
      </c>
      <c r="F26" s="23" t="n">
        <f aca="false">E26</f>
        <v>39703</v>
      </c>
      <c r="G26" s="23" t="n">
        <f aca="false">F26</f>
        <v>39703</v>
      </c>
      <c r="H26" s="23" t="n">
        <f aca="false">G26</f>
        <v>39703</v>
      </c>
      <c r="I26" s="23" t="n">
        <f aca="false">H26</f>
        <v>39703</v>
      </c>
    </row>
    <row r="27" customFormat="false" ht="15" hidden="false" customHeight="true" outlineLevel="0" collapsed="false">
      <c r="A27" s="6" t="s">
        <v>212</v>
      </c>
      <c r="B27" s="24" t="n">
        <v>0</v>
      </c>
      <c r="C27" s="24" t="n">
        <v>458184</v>
      </c>
      <c r="D27" s="24" t="n">
        <v>0</v>
      </c>
      <c r="E27" s="24" t="n">
        <v>0</v>
      </c>
      <c r="F27" s="24" t="n">
        <v>0</v>
      </c>
      <c r="G27" s="24" t="n">
        <v>0</v>
      </c>
      <c r="H27" s="24" t="n">
        <v>0</v>
      </c>
      <c r="I27" s="24" t="n">
        <v>0</v>
      </c>
    </row>
    <row r="28" customFormat="false" ht="15" hidden="false" customHeight="true" outlineLevel="0" collapsed="false">
      <c r="A28" s="6" t="s">
        <v>213</v>
      </c>
      <c r="B28" s="24" t="n">
        <v>672150</v>
      </c>
      <c r="C28" s="24" t="n">
        <v>784253</v>
      </c>
      <c r="D28" s="24" t="n">
        <v>1004945</v>
      </c>
      <c r="E28" s="23" t="n">
        <f aca="false">'Income Statement'!E7*Assumptions!E29</f>
        <v>1205447.77377632</v>
      </c>
      <c r="F28" s="23" t="n">
        <f aca="false">'Income Statement'!F7*Assumptions!F29</f>
        <v>1436153.74795406</v>
      </c>
      <c r="G28" s="23" t="n">
        <f aca="false">'Income Statement'!G7*Assumptions!G29</f>
        <v>1700370.41131721</v>
      </c>
      <c r="H28" s="23" t="n">
        <f aca="false">'Income Statement'!H7*Assumptions!H29</f>
        <v>2007065.76680275</v>
      </c>
      <c r="I28" s="23" t="n">
        <f aca="false">'Income Statement'!I7*Assumptions!I29</f>
        <v>2362112.8754898</v>
      </c>
    </row>
    <row r="29" customFormat="false" ht="15" hidden="false" customHeight="true" outlineLevel="0" collapsed="false">
      <c r="A29" s="15" t="s">
        <v>214</v>
      </c>
      <c r="B29" s="39" t="n">
        <f aca="false">SUM(B22:B28)</f>
        <v>942008</v>
      </c>
      <c r="C29" s="39" t="n">
        <f aca="false">SUM(C22:C28)</f>
        <v>1573399</v>
      </c>
      <c r="D29" s="39" t="n">
        <f aca="false">SUM(D22:D28)</f>
        <v>1467471</v>
      </c>
      <c r="E29" s="39" t="n">
        <f aca="false">SUM(E22:E28)</f>
        <v>1734748.02343316</v>
      </c>
      <c r="F29" s="39" t="n">
        <f aca="false">SUM(F22:F28)</f>
        <v>2053821.06115508</v>
      </c>
      <c r="G29" s="39" t="n">
        <f aca="false">SUM(G22:G28)</f>
        <v>2420221.57584409</v>
      </c>
      <c r="H29" s="39" t="n">
        <f aca="false">SUM(H22:H28)</f>
        <v>2844758.77047132</v>
      </c>
      <c r="I29" s="39" t="n">
        <f aca="false">SUM(I22:I28)</f>
        <v>3335345.51490493</v>
      </c>
    </row>
    <row r="30" customFormat="false" ht="15" hidden="false" customHeight="true" outlineLevel="0" collapsed="false">
      <c r="A30" s="6" t="s">
        <v>215</v>
      </c>
      <c r="B30" s="24" t="n">
        <v>296561</v>
      </c>
      <c r="C30" s="24" t="n">
        <v>254539</v>
      </c>
      <c r="D30" s="24" t="n">
        <v>222602</v>
      </c>
      <c r="E30" s="23" t="n">
        <f aca="false">D30</f>
        <v>222602</v>
      </c>
      <c r="F30" s="23" t="n">
        <f aca="false">E30</f>
        <v>222602</v>
      </c>
      <c r="G30" s="23" t="n">
        <f aca="false">F30</f>
        <v>222602</v>
      </c>
      <c r="H30" s="23" t="n">
        <f aca="false">G30</f>
        <v>222602</v>
      </c>
      <c r="I30" s="23" t="n">
        <f aca="false">H30</f>
        <v>222602</v>
      </c>
    </row>
    <row r="31" customFormat="false" ht="15" hidden="false" customHeight="true" outlineLevel="0" collapsed="false">
      <c r="A31" s="6" t="s">
        <v>216</v>
      </c>
      <c r="B31" s="24" t="n">
        <v>5810</v>
      </c>
      <c r="C31" s="24" t="n">
        <v>3969</v>
      </c>
      <c r="D31" s="24" t="n">
        <v>8495</v>
      </c>
      <c r="E31" s="23" t="n">
        <f aca="false">'Income Statement'!E7*Assumptions!E30</f>
        <v>11127.2102194737</v>
      </c>
      <c r="F31" s="23" t="n">
        <f aca="false">'Income Statement'!F7*Assumptions!F30</f>
        <v>13135.5525727505</v>
      </c>
      <c r="G31" s="23" t="n">
        <f aca="false">'Income Statement'!G7*Assumptions!G30</f>
        <v>15457.9128301564</v>
      </c>
      <c r="H31" s="23" t="n">
        <f aca="false">'Income Statement'!H7*Assumptions!H30</f>
        <v>18136.1364470128</v>
      </c>
      <c r="I31" s="23" t="n">
        <f aca="false">'Income Statement'!I7*Assumptions!I30</f>
        <v>21216.5827139802</v>
      </c>
    </row>
    <row r="32" customFormat="false" ht="15" hidden="false" customHeight="true" outlineLevel="0" collapsed="false">
      <c r="A32" s="6" t="s">
        <v>217</v>
      </c>
      <c r="B32" s="24" t="n">
        <v>36459</v>
      </c>
      <c r="C32" s="24" t="n">
        <v>55640</v>
      </c>
      <c r="D32" s="24" t="n">
        <v>89339</v>
      </c>
      <c r="E32" s="23" t="n">
        <f aca="false">D32</f>
        <v>89339</v>
      </c>
      <c r="F32" s="23" t="n">
        <f aca="false">E32</f>
        <v>89339</v>
      </c>
      <c r="G32" s="23" t="n">
        <f aca="false">F32</f>
        <v>89339</v>
      </c>
      <c r="H32" s="23" t="n">
        <f aca="false">G32</f>
        <v>89339</v>
      </c>
      <c r="I32" s="23" t="n">
        <f aca="false">H32</f>
        <v>89339</v>
      </c>
    </row>
    <row r="33" customFormat="false" ht="15" hidden="false" customHeight="true" outlineLevel="0" collapsed="false">
      <c r="A33" s="6" t="s">
        <v>218</v>
      </c>
      <c r="B33" s="24" t="n">
        <v>456206</v>
      </c>
      <c r="C33" s="24" t="n">
        <v>0</v>
      </c>
      <c r="D33" s="24" t="n">
        <v>0</v>
      </c>
      <c r="E33" s="24" t="n">
        <v>0</v>
      </c>
      <c r="F33" s="24" t="n">
        <v>0</v>
      </c>
      <c r="G33" s="24" t="n">
        <v>0</v>
      </c>
      <c r="H33" s="24" t="n">
        <v>0</v>
      </c>
      <c r="I33" s="24" t="n">
        <v>0</v>
      </c>
    </row>
    <row r="34" customFormat="false" ht="15" hidden="false" customHeight="true" outlineLevel="0" collapsed="false">
      <c r="A34" s="15" t="s">
        <v>219</v>
      </c>
      <c r="B34" s="39" t="n">
        <f aca="false">B29+SUM(B30:B33)</f>
        <v>1737044</v>
      </c>
      <c r="C34" s="39" t="n">
        <f aca="false">C29+SUM(C30:C33)</f>
        <v>1887547</v>
      </c>
      <c r="D34" s="39" t="n">
        <f aca="false">D29+SUM(D30:D33)</f>
        <v>1787907</v>
      </c>
      <c r="E34" s="39" t="n">
        <f aca="false">E29+SUM(E30:E33)</f>
        <v>2057816.23365263</v>
      </c>
      <c r="F34" s="39" t="n">
        <f aca="false">F29+SUM(F30:F33)</f>
        <v>2378897.61372783</v>
      </c>
      <c r="G34" s="39" t="n">
        <f aca="false">G29+SUM(G30:G33)</f>
        <v>2747620.48867425</v>
      </c>
      <c r="H34" s="39" t="n">
        <f aca="false">H29+SUM(H30:H33)</f>
        <v>3174835.90691833</v>
      </c>
      <c r="I34" s="39" t="n">
        <f aca="false">I29+SUM(I30:I33)</f>
        <v>3668503.09761891</v>
      </c>
    </row>
    <row r="36" customFormat="false" ht="15" hidden="false" customHeight="true" outlineLevel="0" collapsed="false">
      <c r="A36" s="15" t="s">
        <v>220</v>
      </c>
    </row>
    <row r="37" customFormat="false" ht="15" hidden="false" customHeight="true" outlineLevel="0" collapsed="false">
      <c r="A37" s="6" t="s">
        <v>221</v>
      </c>
      <c r="B37" s="24" t="n">
        <v>50</v>
      </c>
      <c r="C37" s="24" t="n">
        <v>52</v>
      </c>
      <c r="D37" s="24" t="n">
        <v>53</v>
      </c>
      <c r="E37" s="23" t="n">
        <f aca="false">D37</f>
        <v>53</v>
      </c>
      <c r="F37" s="23" t="n">
        <f aca="false">E37</f>
        <v>53</v>
      </c>
      <c r="G37" s="23" t="n">
        <f aca="false">F37</f>
        <v>53</v>
      </c>
      <c r="H37" s="23" t="n">
        <f aca="false">G37</f>
        <v>53</v>
      </c>
      <c r="I37" s="23" t="n">
        <f aca="false">H37</f>
        <v>53</v>
      </c>
    </row>
    <row r="38" customFormat="false" ht="15" hidden="false" customHeight="true" outlineLevel="0" collapsed="false">
      <c r="A38" s="6" t="s">
        <v>222</v>
      </c>
      <c r="B38" s="24" t="n">
        <v>0</v>
      </c>
      <c r="C38" s="24" t="n">
        <v>0</v>
      </c>
      <c r="D38" s="24" t="n">
        <v>2</v>
      </c>
      <c r="E38" s="23" t="n">
        <f aca="false">D38</f>
        <v>2</v>
      </c>
      <c r="F38" s="23" t="n">
        <f aca="false">E38</f>
        <v>2</v>
      </c>
      <c r="G38" s="23" t="n">
        <f aca="false">F38</f>
        <v>2</v>
      </c>
      <c r="H38" s="23" t="n">
        <f aca="false">G38</f>
        <v>2</v>
      </c>
      <c r="I38" s="23" t="n">
        <f aca="false">H38</f>
        <v>2</v>
      </c>
    </row>
    <row r="39" customFormat="false" ht="15" hidden="false" customHeight="true" outlineLevel="0" collapsed="false">
      <c r="A39" s="6" t="s">
        <v>223</v>
      </c>
      <c r="B39" s="24" t="n">
        <v>2136908</v>
      </c>
      <c r="C39" s="24" t="n">
        <v>2713697</v>
      </c>
      <c r="D39" s="24" t="n">
        <v>2814843</v>
      </c>
      <c r="E39" s="23" t="n">
        <f aca="false">D39+'Cash Flow'!E7+'Cash Flow'!E27</f>
        <v>3483294.21170526</v>
      </c>
      <c r="F39" s="23" t="n">
        <f aca="false">E39+'Cash Flow'!F7+'Cash Flow'!F27</f>
        <v>4223828.87539129</v>
      </c>
      <c r="G39" s="23" t="n">
        <f aca="false">F39+'Cash Flow'!G7+'Cash Flow'!G27</f>
        <v>5045961.32884885</v>
      </c>
      <c r="H39" s="23" t="n">
        <f aca="false">G39+'Cash Flow'!H7+'Cash Flow'!H27</f>
        <v>5967314.36304278</v>
      </c>
      <c r="I39" s="23" t="n">
        <f aca="false">H39+'Cash Flow'!I7+'Cash Flow'!I27</f>
        <v>6997060.58517189</v>
      </c>
    </row>
    <row r="40" customFormat="false" ht="15" hidden="false" customHeight="true" outlineLevel="0" collapsed="false">
      <c r="A40" s="6" t="s">
        <v>224</v>
      </c>
      <c r="B40" s="24" t="n">
        <v>1827</v>
      </c>
      <c r="C40" s="24" t="n">
        <v>-5654</v>
      </c>
      <c r="D40" s="24" t="n">
        <v>5244</v>
      </c>
      <c r="E40" s="23" t="n">
        <f aca="false">D40</f>
        <v>5244</v>
      </c>
      <c r="F40" s="23" t="n">
        <f aca="false">E40</f>
        <v>5244</v>
      </c>
      <c r="G40" s="23" t="n">
        <f aca="false">F40</f>
        <v>5244</v>
      </c>
      <c r="H40" s="23" t="n">
        <f aca="false">G40</f>
        <v>5244</v>
      </c>
      <c r="I40" s="23" t="n">
        <f aca="false">H40</f>
        <v>5244</v>
      </c>
    </row>
    <row r="41" customFormat="false" ht="15" hidden="false" customHeight="true" outlineLevel="0" collapsed="false">
      <c r="A41" s="6" t="s">
        <v>225</v>
      </c>
      <c r="B41" s="24" t="n">
        <v>-804437</v>
      </c>
      <c r="C41" s="24" t="n">
        <v>-799809</v>
      </c>
      <c r="D41" s="24" t="n">
        <v>-753898</v>
      </c>
      <c r="E41" s="23" t="n">
        <f aca="false">D41+'Income Statement'!E27+'Cash Flow'!E28+'Cash Flow'!E30</f>
        <v>-1125854.667104</v>
      </c>
      <c r="F41" s="23" t="n">
        <f aca="false">E41+'Income Statement'!F27+'Cash Flow'!F28+'Cash Flow'!F30</f>
        <v>-1414577.09505916</v>
      </c>
      <c r="G41" s="23" t="n">
        <f aca="false">F41+'Income Statement'!G27+'Cash Flow'!G28+'Cash Flow'!G30</f>
        <v>-1641410.66337205</v>
      </c>
      <c r="H41" s="23" t="n">
        <f aca="false">G41+'Income Statement'!H27+'Cash Flow'!H28+'Cash Flow'!H30</f>
        <v>-1719979.5074317</v>
      </c>
      <c r="I41" s="23" t="n">
        <f aca="false">H41+'Income Statement'!I27+'Cash Flow'!I28+'Cash Flow'!I30</f>
        <v>-1654095.88901163</v>
      </c>
    </row>
    <row r="42" customFormat="false" ht="15" hidden="false" customHeight="true" outlineLevel="0" collapsed="false">
      <c r="A42" s="15" t="s">
        <v>226</v>
      </c>
      <c r="B42" s="39" t="n">
        <f aca="false">SUM(B37:B41)</f>
        <v>1334348</v>
      </c>
      <c r="C42" s="39" t="n">
        <f aca="false">SUM(C37:C41)</f>
        <v>1908286</v>
      </c>
      <c r="D42" s="39" t="n">
        <f aca="false">SUM(D37:D41)</f>
        <v>2066244</v>
      </c>
      <c r="E42" s="39" t="n">
        <f aca="false">SUM(E37:E41)</f>
        <v>2362738.54460126</v>
      </c>
      <c r="F42" s="39" t="n">
        <f aca="false">SUM(F37:F41)</f>
        <v>2814550.78033213</v>
      </c>
      <c r="G42" s="39" t="n">
        <f aca="false">SUM(G37:G41)</f>
        <v>3409849.6654768</v>
      </c>
      <c r="H42" s="39" t="n">
        <f aca="false">SUM(H37:H41)</f>
        <v>4252633.85561108</v>
      </c>
      <c r="I42" s="39" t="n">
        <f aca="false">SUM(I37:I41)</f>
        <v>5348263.69616026</v>
      </c>
    </row>
    <row r="43" customFormat="false" ht="15" hidden="false" customHeight="true" outlineLevel="0" collapsed="false">
      <c r="A43" s="15" t="s">
        <v>227</v>
      </c>
      <c r="B43" s="32" t="n">
        <f aca="false">B34+B42</f>
        <v>3071392</v>
      </c>
      <c r="C43" s="32" t="n">
        <f aca="false">C34+C42</f>
        <v>3795833</v>
      </c>
      <c r="D43" s="32" t="n">
        <f aca="false">D34+D42</f>
        <v>3854151</v>
      </c>
      <c r="E43" s="32" t="n">
        <f aca="false">E34+E42</f>
        <v>4420554.77825389</v>
      </c>
      <c r="F43" s="32" t="n">
        <f aca="false">F34+F42</f>
        <v>5193448.39405996</v>
      </c>
      <c r="G43" s="32" t="n">
        <f aca="false">G34+G42</f>
        <v>6157470.15415105</v>
      </c>
      <c r="H43" s="32" t="n">
        <f aca="false">H34+H42</f>
        <v>7427469.76252941</v>
      </c>
      <c r="I43" s="32" t="n">
        <f aca="false">I34+I42</f>
        <v>9016766.79377917</v>
      </c>
    </row>
    <row r="45" customFormat="false" ht="15" hidden="false" customHeight="true" outlineLevel="0" collapsed="false">
      <c r="A45" s="16" t="s">
        <v>228</v>
      </c>
      <c r="B45" s="33" t="n">
        <f aca="false">B19-B43</f>
        <v>0</v>
      </c>
      <c r="C45" s="33" t="n">
        <f aca="false">C19-C43</f>
        <v>0</v>
      </c>
      <c r="D45" s="33" t="n">
        <f aca="false">D19-D43</f>
        <v>0</v>
      </c>
      <c r="E45" s="33" t="n">
        <f aca="false">E19-E43</f>
        <v>0</v>
      </c>
      <c r="F45" s="33" t="n">
        <f aca="false">F19-F43</f>
        <v>0</v>
      </c>
      <c r="G45" s="33" t="n">
        <f aca="false">G19-G43</f>
        <v>0</v>
      </c>
      <c r="H45" s="33" t="n">
        <f aca="false">H19-H43</f>
        <v>0</v>
      </c>
      <c r="I45" s="33" t="n">
        <f aca="false">I19-I43</f>
        <v>0</v>
      </c>
      <c r="K45" s="18" t="s">
        <v>229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9" min="2" style="1" width="13.5"/>
    <col collapsed="false" customWidth="true" hidden="false" outlineLevel="0" max="10" min="10" style="1" width="2"/>
    <col collapsed="false" customWidth="true" hidden="false" outlineLevel="0" max="11" min="11" style="1" width="60"/>
  </cols>
  <sheetData>
    <row r="1" customFormat="false" ht="15" hidden="false" customHeight="true" outlineLevel="0" collapsed="false">
      <c r="A1" s="12" t="s">
        <v>230</v>
      </c>
    </row>
    <row r="2" customFormat="false" ht="15" hidden="false" customHeight="true" outlineLevel="0" collapsed="false">
      <c r="A2" s="11" t="s">
        <v>25</v>
      </c>
    </row>
    <row r="3" customFormat="false" ht="15" hidden="false" customHeight="true" outlineLevel="0" collapsed="false">
      <c r="A3" s="13"/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4" t="s">
        <v>32</v>
      </c>
      <c r="I3" s="14" t="s">
        <v>33</v>
      </c>
    </row>
    <row r="4" customFormat="false" ht="15" hidden="false" customHeight="true" outlineLevel="0" collapsed="false">
      <c r="A4" s="15" t="s">
        <v>231</v>
      </c>
    </row>
    <row r="5" customFormat="false" ht="15" hidden="false" customHeight="true" outlineLevel="0" collapsed="false">
      <c r="A5" s="6" t="s">
        <v>232</v>
      </c>
      <c r="B5" s="24" t="n">
        <v>-164510</v>
      </c>
      <c r="C5" s="24" t="n">
        <v>4628</v>
      </c>
      <c r="D5" s="24" t="n">
        <v>45911</v>
      </c>
      <c r="E5" s="38" t="n">
        <f aca="false">'Income Statement'!E27</f>
        <v>103043.332896</v>
      </c>
      <c r="F5" s="38" t="n">
        <f aca="false">'Income Statement'!F27</f>
        <v>186277.57204484</v>
      </c>
      <c r="G5" s="38" t="n">
        <f aca="false">'Income Statement'!G27</f>
        <v>298166.431687109</v>
      </c>
      <c r="H5" s="38" t="n">
        <f aca="false">'Income Statement'!H27</f>
        <v>446431.155940352</v>
      </c>
      <c r="I5" s="38" t="n">
        <f aca="false">'Income Statement'!I27</f>
        <v>640883.618420069</v>
      </c>
    </row>
    <row r="6" customFormat="false" ht="15" hidden="false" customHeight="true" outlineLevel="0" collapsed="false">
      <c r="A6" s="6" t="s">
        <v>233</v>
      </c>
      <c r="B6" s="24" t="n">
        <v>72673</v>
      </c>
      <c r="C6" s="24" t="n">
        <v>96828</v>
      </c>
      <c r="D6" s="24" t="n">
        <v>136295</v>
      </c>
      <c r="E6" s="23" t="n">
        <f aca="false">'Income Statement'!E33+'Income Statement'!E34</f>
        <v>114981.172267895</v>
      </c>
      <c r="F6" s="23" t="n">
        <f aca="false">'Income Statement'!F33+'Income Statement'!F34</f>
        <v>135734.043251755</v>
      </c>
      <c r="G6" s="23" t="n">
        <f aca="false">'Income Statement'!G33+'Income Statement'!G34</f>
        <v>159731.765911617</v>
      </c>
      <c r="H6" s="23" t="n">
        <f aca="false">'Income Statement'!H33+'Income Statement'!H34</f>
        <v>187406.743285799</v>
      </c>
      <c r="I6" s="23" t="n">
        <f aca="false">'Income Statement'!I33+'Income Statement'!I34</f>
        <v>219238.021377795</v>
      </c>
    </row>
    <row r="7" customFormat="false" ht="15" hidden="false" customHeight="true" outlineLevel="0" collapsed="false">
      <c r="A7" s="6" t="s">
        <v>234</v>
      </c>
      <c r="B7" s="24" t="n">
        <v>432271</v>
      </c>
      <c r="C7" s="24" t="n">
        <v>504770</v>
      </c>
      <c r="D7" s="24" t="n">
        <v>528153</v>
      </c>
      <c r="E7" s="38" t="n">
        <f aca="false">'Income Statement'!E32</f>
        <v>593451.211705263</v>
      </c>
      <c r="F7" s="38" t="n">
        <f aca="false">'Income Statement'!F32</f>
        <v>665534.663686027</v>
      </c>
      <c r="G7" s="38" t="n">
        <f aca="false">'Income Statement'!G32</f>
        <v>747132.453457561</v>
      </c>
      <c r="H7" s="38" t="n">
        <f aca="false">'Income Statement'!H32</f>
        <v>846353.034193932</v>
      </c>
      <c r="I7" s="38" t="n">
        <f aca="false">'Income Statement'!I32</f>
        <v>954746.222129109</v>
      </c>
    </row>
    <row r="8" customFormat="false" ht="15" hidden="false" customHeight="true" outlineLevel="0" collapsed="false">
      <c r="A8" s="6" t="s">
        <v>235</v>
      </c>
      <c r="B8" s="24" t="n">
        <v>28255</v>
      </c>
      <c r="C8" s="24" t="n">
        <v>-64463</v>
      </c>
      <c r="D8" s="24" t="n">
        <v>-45162</v>
      </c>
      <c r="E8" s="24" t="n">
        <v>0</v>
      </c>
      <c r="F8" s="24" t="n">
        <v>0</v>
      </c>
      <c r="G8" s="24" t="n">
        <v>0</v>
      </c>
      <c r="H8" s="24" t="n">
        <v>0</v>
      </c>
      <c r="I8" s="24" t="n">
        <v>0</v>
      </c>
      <c r="K8" s="18" t="s">
        <v>236</v>
      </c>
    </row>
    <row r="9" customFormat="false" ht="15" hidden="false" customHeight="true" outlineLevel="0" collapsed="false">
      <c r="A9" s="6" t="s">
        <v>237</v>
      </c>
      <c r="B9" s="24" t="n">
        <v>-57618</v>
      </c>
      <c r="C9" s="24" t="n">
        <v>-48428</v>
      </c>
      <c r="D9" s="24" t="n">
        <v>-64003</v>
      </c>
      <c r="E9" s="23" t="n">
        <f aca="false">-('Balance Sheet'!E7-'Balance Sheet'!D7)</f>
        <v>-78783.9550266763</v>
      </c>
      <c r="F9" s="23" t="n">
        <f aca="false">-('Balance Sheet'!F7-'Balance Sheet'!E7)</f>
        <v>-89871.0276808814</v>
      </c>
      <c r="G9" s="23" t="n">
        <f aca="false">-('Balance Sheet'!G7-'Balance Sheet'!F7)</f>
        <v>-89806.1550527248</v>
      </c>
      <c r="H9" s="23" t="n">
        <f aca="false">-('Balance Sheet'!H7-'Balance Sheet'!G7)</f>
        <v>-117401.583204663</v>
      </c>
      <c r="I9" s="23" t="n">
        <f aca="false">-('Balance Sheet'!I7-'Balance Sheet'!H7)</f>
        <v>-115657.386393108</v>
      </c>
    </row>
    <row r="10" customFormat="false" ht="15" hidden="false" customHeight="true" outlineLevel="0" collapsed="false">
      <c r="A10" s="6" t="s">
        <v>238</v>
      </c>
      <c r="B10" s="24" t="n">
        <v>-81178</v>
      </c>
      <c r="C10" s="24" t="n">
        <v>-96687</v>
      </c>
      <c r="D10" s="24" t="n">
        <v>-117032</v>
      </c>
      <c r="E10" s="23" t="n">
        <f aca="false">-('Balance Sheet'!E8-'Balance Sheet'!D8)-('Balance Sheet'!E15-'Balance Sheet'!D15)</f>
        <v>-81512.9503884211</v>
      </c>
      <c r="F10" s="23" t="n">
        <f aca="false">-('Balance Sheet'!F8-'Balance Sheet'!E8)-('Balance Sheet'!F15-'Balance Sheet'!E15)</f>
        <v>-95061.5380551037</v>
      </c>
      <c r="G10" s="23" t="n">
        <f aca="false">-('Balance Sheet'!G8-'Balance Sheet'!F8)-('Balance Sheet'!G15-'Balance Sheet'!F15)</f>
        <v>-109925.05218388</v>
      </c>
      <c r="H10" s="23" t="n">
        <f aca="false">-('Balance Sheet'!H8-'Balance Sheet'!G8)-('Balance Sheet'!H15-'Balance Sheet'!G15)</f>
        <v>-126769.251197869</v>
      </c>
      <c r="I10" s="23" t="n">
        <f aca="false">-('Balance Sheet'!I8-'Balance Sheet'!H8)-('Balance Sheet'!I15-'Balance Sheet'!H15)</f>
        <v>-145807.789969789</v>
      </c>
    </row>
    <row r="11" customFormat="false" ht="15" hidden="false" customHeight="true" outlineLevel="0" collapsed="false">
      <c r="A11" s="6" t="s">
        <v>239</v>
      </c>
      <c r="B11" s="24" t="n">
        <v>-47048</v>
      </c>
      <c r="C11" s="24" t="n">
        <v>-4415</v>
      </c>
      <c r="D11" s="24" t="n">
        <v>-34060</v>
      </c>
      <c r="E11" s="23" t="n">
        <f aca="false">-('Balance Sheet'!E9-'Balance Sheet'!D9)-('Balance Sheet'!E16-'Balance Sheet'!D16)</f>
        <v>-49057.9562184211</v>
      </c>
      <c r="F11" s="23" t="n">
        <f aca="false">-('Balance Sheet'!F9-'Balance Sheet'!E9)-('Balance Sheet'!F16-'Balance Sheet'!E16)</f>
        <v>-56903.0333428438</v>
      </c>
      <c r="G11" s="23" t="n">
        <f aca="false">-('Balance Sheet'!G9-'Balance Sheet'!F9)-('Balance Sheet'!G16-'Balance Sheet'!F16)</f>
        <v>-65800.2072931677</v>
      </c>
      <c r="H11" s="23" t="n">
        <f aca="false">-('Balance Sheet'!H9-'Balance Sheet'!G9)-('Balance Sheet'!H16-'Balance Sheet'!G16)</f>
        <v>-75883.0024775976</v>
      </c>
      <c r="I11" s="23" t="n">
        <f aca="false">-('Balance Sheet'!I9-'Balance Sheet'!H9)-('Balance Sheet'!I16-'Balance Sheet'!H16)</f>
        <v>-87279.3108974089</v>
      </c>
    </row>
    <row r="12" customFormat="false" ht="15" hidden="false" customHeight="true" outlineLevel="0" collapsed="false">
      <c r="A12" s="6" t="s">
        <v>240</v>
      </c>
      <c r="B12" s="24" t="n">
        <v>-14031</v>
      </c>
      <c r="C12" s="24" t="n">
        <v>-4577</v>
      </c>
      <c r="D12" s="24" t="n">
        <v>18999</v>
      </c>
      <c r="E12" s="23" t="n">
        <f aca="false">'Balance Sheet'!E22-'Balance Sheet'!D22</f>
        <v>-2509.57956105263</v>
      </c>
      <c r="F12" s="23" t="n">
        <f aca="false">'Balance Sheet'!F22-'Balance Sheet'!E22</f>
        <v>4016.68470655368</v>
      </c>
      <c r="G12" s="23" t="n">
        <f aca="false">'Balance Sheet'!G22-'Balance Sheet'!F22</f>
        <v>4644.72051481184</v>
      </c>
      <c r="H12" s="23" t="n">
        <f aca="false">'Balance Sheet'!H22-'Balance Sheet'!G22</f>
        <v>5356.44723371277</v>
      </c>
      <c r="I12" s="23" t="n">
        <f aca="false">'Balance Sheet'!I22-'Balance Sheet'!H22</f>
        <v>6160.89253393475</v>
      </c>
    </row>
    <row r="13" customFormat="false" ht="15" hidden="false" customHeight="true" outlineLevel="0" collapsed="false">
      <c r="A13" s="6" t="s">
        <v>241</v>
      </c>
      <c r="B13" s="24" t="n">
        <v>79947</v>
      </c>
      <c r="C13" s="24" t="n">
        <v>89129</v>
      </c>
      <c r="D13" s="24" t="n">
        <v>117971</v>
      </c>
      <c r="E13" s="23" t="n">
        <f aca="false">('Balance Sheet'!E23-'Balance Sheet'!D23)+('Balance Sheet'!E24-'Balance Sheet'!D24)+('Balance Sheet'!E25-'Balance Sheet'!D25)</f>
        <v>69283.8292178948</v>
      </c>
      <c r="F13" s="23" t="n">
        <f aca="false">('Balance Sheet'!F23-'Balance Sheet'!E23)+('Balance Sheet'!F24-'Balance Sheet'!E24)+('Balance Sheet'!F25-'Balance Sheet'!E25)</f>
        <v>84350.3788376273</v>
      </c>
      <c r="G13" s="23" t="n">
        <f aca="false">('Balance Sheet'!G23-'Balance Sheet'!F23)+('Balance Sheet'!G24-'Balance Sheet'!F24)+('Balance Sheet'!G25-'Balance Sheet'!F25)</f>
        <v>97539.1308110486</v>
      </c>
      <c r="H13" s="23" t="n">
        <f aca="false">('Balance Sheet'!H23-'Balance Sheet'!G23)+('Balance Sheet'!H24-'Balance Sheet'!G24)+('Balance Sheet'!H25-'Balance Sheet'!G25)</f>
        <v>112485.391907968</v>
      </c>
      <c r="I13" s="23" t="n">
        <f aca="false">('Balance Sheet'!I23-'Balance Sheet'!H23)+('Balance Sheet'!I24-'Balance Sheet'!H24)+('Balance Sheet'!I25-'Balance Sheet'!H25)</f>
        <v>129378.74321263</v>
      </c>
    </row>
    <row r="14" customFormat="false" ht="15" hidden="false" customHeight="true" outlineLevel="0" collapsed="false">
      <c r="A14" s="6" t="s">
        <v>242</v>
      </c>
      <c r="B14" s="24" t="n">
        <v>109926</v>
      </c>
      <c r="C14" s="24" t="n">
        <v>131038</v>
      </c>
      <c r="D14" s="24" t="n">
        <v>183875</v>
      </c>
      <c r="E14" s="23" t="n">
        <f aca="false">('Balance Sheet'!E28-'Balance Sheet'!D28)+('Balance Sheet'!E31-'Balance Sheet'!D31)</f>
        <v>203134.98399579</v>
      </c>
      <c r="F14" s="23" t="n">
        <f aca="false">('Balance Sheet'!F28-'Balance Sheet'!E28)+('Balance Sheet'!F31-'Balance Sheet'!E31)</f>
        <v>232714.316531019</v>
      </c>
      <c r="G14" s="23" t="n">
        <f aca="false">('Balance Sheet'!G28-'Balance Sheet'!F28)+('Balance Sheet'!G31-'Balance Sheet'!F31)</f>
        <v>266539.023620557</v>
      </c>
      <c r="H14" s="23" t="n">
        <f aca="false">('Balance Sheet'!H28-'Balance Sheet'!G28)+('Balance Sheet'!H31-'Balance Sheet'!G31)</f>
        <v>309373.579102401</v>
      </c>
      <c r="I14" s="23" t="n">
        <f aca="false">('Balance Sheet'!I28-'Balance Sheet'!H28)+('Balance Sheet'!I31-'Balance Sheet'!H31)</f>
        <v>358127.55495401</v>
      </c>
    </row>
    <row r="15" customFormat="false" ht="15" hidden="false" customHeight="true" outlineLevel="0" collapsed="false">
      <c r="A15" s="6" t="s">
        <v>243</v>
      </c>
      <c r="B15" s="24" t="n">
        <v>-7716</v>
      </c>
      <c r="C15" s="24" t="n">
        <v>-9224</v>
      </c>
      <c r="D15" s="24" t="n">
        <v>-10230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v>0</v>
      </c>
    </row>
    <row r="16" customFormat="false" ht="15" hidden="false" customHeight="true" outlineLevel="0" collapsed="false">
      <c r="A16" s="15" t="s">
        <v>244</v>
      </c>
      <c r="B16" s="39" t="n">
        <f aca="false">SUM(B5:B15)</f>
        <v>350971</v>
      </c>
      <c r="C16" s="39" t="n">
        <f aca="false">SUM(C5:C15)</f>
        <v>598599</v>
      </c>
      <c r="D16" s="39" t="n">
        <f aca="false">SUM(D5:D15)</f>
        <v>760717</v>
      </c>
      <c r="E16" s="39" t="n">
        <f aca="false">SUM(E5:E15)</f>
        <v>872030.088888271</v>
      </c>
      <c r="F16" s="39" t="n">
        <f aca="false">SUM(F5:F15)</f>
        <v>1066792.05997899</v>
      </c>
      <c r="G16" s="39" t="n">
        <f aca="false">SUM(G5:G15)</f>
        <v>1308222.11147293</v>
      </c>
      <c r="H16" s="39" t="n">
        <f aca="false">SUM(H5:H15)</f>
        <v>1587352.51478403</v>
      </c>
      <c r="I16" s="39" t="n">
        <f aca="false">SUM(I5:I15)</f>
        <v>1959790.56536724</v>
      </c>
    </row>
    <row r="18" customFormat="false" ht="15" hidden="false" customHeight="true" outlineLevel="0" collapsed="false">
      <c r="A18" s="15" t="s">
        <v>245</v>
      </c>
    </row>
    <row r="19" customFormat="false" ht="15" hidden="false" customHeight="true" outlineLevel="0" collapsed="false">
      <c r="A19" s="6" t="s">
        <v>246</v>
      </c>
      <c r="B19" s="24" t="n">
        <v>-33718</v>
      </c>
      <c r="C19" s="24" t="n">
        <v>-37939</v>
      </c>
      <c r="D19" s="24" t="n">
        <v>-53165</v>
      </c>
      <c r="E19" s="23" t="n">
        <f aca="false">-'Income Statement'!E7*Assumptions!E31</f>
        <v>-63054.1912436842</v>
      </c>
      <c r="F19" s="23" t="n">
        <f aca="false">-'Income Statement'!F7*Assumptions!F31</f>
        <v>-74434.797912253</v>
      </c>
      <c r="G19" s="23" t="n">
        <f aca="false">-'Income Statement'!G7*Assumptions!G31</f>
        <v>-87594.8393708865</v>
      </c>
      <c r="H19" s="23" t="n">
        <f aca="false">-'Income Statement'!H7*Assumptions!H31</f>
        <v>-102771.439866406</v>
      </c>
      <c r="I19" s="23" t="n">
        <f aca="false">-'Income Statement'!I7*Assumptions!I31</f>
        <v>-120227.302045888</v>
      </c>
    </row>
    <row r="20" customFormat="false" ht="15" hidden="false" customHeight="true" outlineLevel="0" collapsed="false">
      <c r="A20" s="6" t="s">
        <v>247</v>
      </c>
      <c r="B20" s="24" t="n">
        <v>-66372</v>
      </c>
      <c r="C20" s="24" t="n">
        <v>-89636</v>
      </c>
      <c r="D20" s="24" t="n">
        <v>-130624</v>
      </c>
      <c r="E20" s="23" t="n">
        <f aca="false">-'Income Statement'!E7*Assumptions!E32</f>
        <v>-155780.943072632</v>
      </c>
      <c r="F20" s="23" t="n">
        <f aca="false">-'Income Statement'!F7*Assumptions!F32</f>
        <v>-183897.736018507</v>
      </c>
      <c r="G20" s="23" t="n">
        <f aca="false">-'Income Statement'!G7*Assumptions!G32</f>
        <v>-216410.77962219</v>
      </c>
      <c r="H20" s="23" t="n">
        <f aca="false">-'Income Statement'!H7*Assumptions!H32</f>
        <v>-253905.91025818</v>
      </c>
      <c r="I20" s="23" t="n">
        <f aca="false">-'Income Statement'!I7*Assumptions!I32</f>
        <v>-297032.157995723</v>
      </c>
    </row>
    <row r="21" customFormat="false" ht="15" hidden="false" customHeight="true" outlineLevel="0" collapsed="false">
      <c r="A21" s="6" t="s">
        <v>248</v>
      </c>
      <c r="B21" s="24" t="n">
        <v>-77970</v>
      </c>
      <c r="C21" s="24" t="n">
        <v>-333012</v>
      </c>
      <c r="D21" s="24" t="n">
        <v>793389</v>
      </c>
      <c r="E21" s="24" t="n">
        <v>0</v>
      </c>
      <c r="F21" s="24" t="n">
        <v>0</v>
      </c>
      <c r="G21" s="24" t="n">
        <v>0</v>
      </c>
      <c r="H21" s="24" t="n">
        <v>0</v>
      </c>
      <c r="I21" s="24" t="n">
        <v>0</v>
      </c>
      <c r="K21" s="18" t="s">
        <v>249</v>
      </c>
    </row>
    <row r="22" customFormat="false" ht="15" hidden="false" customHeight="true" outlineLevel="0" collapsed="false">
      <c r="A22" s="6" t="s">
        <v>250</v>
      </c>
      <c r="B22" s="24" t="n">
        <v>-142129</v>
      </c>
      <c r="C22" s="24" t="n">
        <v>-40438</v>
      </c>
      <c r="D22" s="24" t="n">
        <v>-87608</v>
      </c>
      <c r="E22" s="24" t="n">
        <v>0</v>
      </c>
      <c r="F22" s="24" t="n">
        <v>0</v>
      </c>
      <c r="G22" s="24" t="n">
        <v>0</v>
      </c>
      <c r="H22" s="24" t="n">
        <v>0</v>
      </c>
      <c r="I22" s="24" t="n">
        <v>0</v>
      </c>
    </row>
    <row r="23" customFormat="false" ht="15" hidden="false" customHeight="true" outlineLevel="0" collapsed="false">
      <c r="A23" s="6" t="s">
        <v>251</v>
      </c>
      <c r="B23" s="24" t="n">
        <v>-14577</v>
      </c>
      <c r="C23" s="24" t="n">
        <v>-14836</v>
      </c>
      <c r="D23" s="24" t="n">
        <v>-30219</v>
      </c>
      <c r="E23" s="24" t="n">
        <v>0</v>
      </c>
      <c r="F23" s="24" t="n">
        <v>0</v>
      </c>
      <c r="G23" s="24" t="n">
        <v>0</v>
      </c>
      <c r="H23" s="24" t="n">
        <v>0</v>
      </c>
      <c r="I23" s="24" t="n">
        <v>0</v>
      </c>
    </row>
    <row r="24" customFormat="false" ht="15" hidden="false" customHeight="true" outlineLevel="0" collapsed="false">
      <c r="A24" s="15" t="s">
        <v>252</v>
      </c>
      <c r="B24" s="39" t="n">
        <f aca="false">SUM(B19:B23)</f>
        <v>-334766</v>
      </c>
      <c r="C24" s="39" t="n">
        <f aca="false">SUM(C19:C23)</f>
        <v>-515861</v>
      </c>
      <c r="D24" s="39" t="n">
        <f aca="false">SUM(D19:D23)</f>
        <v>491773</v>
      </c>
      <c r="E24" s="39" t="n">
        <f aca="false">SUM(E19:E23)</f>
        <v>-218835.134316316</v>
      </c>
      <c r="F24" s="39" t="n">
        <f aca="false">SUM(F19:F23)</f>
        <v>-258332.53393076</v>
      </c>
      <c r="G24" s="39" t="n">
        <f aca="false">SUM(G19:G23)</f>
        <v>-304005.618993077</v>
      </c>
      <c r="H24" s="39" t="n">
        <f aca="false">SUM(H19:H23)</f>
        <v>-356677.350124586</v>
      </c>
      <c r="I24" s="39" t="n">
        <f aca="false">SUM(I19:I23)</f>
        <v>-417259.460041611</v>
      </c>
    </row>
    <row r="26" customFormat="false" ht="15" hidden="false" customHeight="true" outlineLevel="0" collapsed="false">
      <c r="A26" s="15" t="s">
        <v>253</v>
      </c>
    </row>
    <row r="27" customFormat="false" ht="15" hidden="false" customHeight="true" outlineLevel="0" collapsed="false">
      <c r="A27" s="6" t="s">
        <v>254</v>
      </c>
      <c r="B27" s="24" t="n">
        <v>47738</v>
      </c>
      <c r="C27" s="24" t="n">
        <v>75501</v>
      </c>
      <c r="D27" s="24" t="n">
        <v>71394</v>
      </c>
      <c r="E27" s="38" t="n">
        <f aca="false">Assumptions!E36</f>
        <v>75000</v>
      </c>
      <c r="F27" s="38" t="n">
        <f aca="false">Assumptions!F36</f>
        <v>75000</v>
      </c>
      <c r="G27" s="38" t="n">
        <f aca="false">Assumptions!G36</f>
        <v>75000</v>
      </c>
      <c r="H27" s="38" t="n">
        <f aca="false">Assumptions!H36</f>
        <v>75000</v>
      </c>
      <c r="I27" s="38" t="n">
        <f aca="false">Assumptions!I36</f>
        <v>75000</v>
      </c>
    </row>
    <row r="28" customFormat="false" ht="15" hidden="false" customHeight="true" outlineLevel="0" collapsed="false">
      <c r="A28" s="6" t="s">
        <v>255</v>
      </c>
      <c r="B28" s="24" t="n">
        <v>0</v>
      </c>
      <c r="C28" s="24" t="n">
        <v>0</v>
      </c>
      <c r="D28" s="24" t="n">
        <v>-500019</v>
      </c>
      <c r="E28" s="23" t="n">
        <f aca="false">-Assumptions!E35</f>
        <v>-450000</v>
      </c>
      <c r="F28" s="23" t="n">
        <f aca="false">-Assumptions!F35</f>
        <v>-450000</v>
      </c>
      <c r="G28" s="23" t="n">
        <f aca="false">-Assumptions!G35</f>
        <v>-500000</v>
      </c>
      <c r="H28" s="23" t="n">
        <f aca="false">-Assumptions!H35</f>
        <v>-500000</v>
      </c>
      <c r="I28" s="23" t="n">
        <f aca="false">-Assumptions!I35</f>
        <v>-550000</v>
      </c>
    </row>
    <row r="29" customFormat="false" ht="15" hidden="false" customHeight="true" outlineLevel="0" collapsed="false">
      <c r="A29" s="6" t="s">
        <v>256</v>
      </c>
      <c r="B29" s="24" t="n">
        <v>-13</v>
      </c>
      <c r="C29" s="24" t="n">
        <v>-57</v>
      </c>
      <c r="D29" s="24" t="n">
        <v>-459811</v>
      </c>
      <c r="E29" s="24" t="n">
        <v>0</v>
      </c>
      <c r="F29" s="24" t="n">
        <v>0</v>
      </c>
      <c r="G29" s="24" t="n">
        <v>0</v>
      </c>
      <c r="H29" s="24" t="n">
        <v>0</v>
      </c>
      <c r="I29" s="24" t="n">
        <v>0</v>
      </c>
    </row>
    <row r="30" customFormat="false" ht="15" hidden="false" customHeight="true" outlineLevel="0" collapsed="false">
      <c r="A30" s="6" t="s">
        <v>257</v>
      </c>
      <c r="B30" s="24" t="n">
        <v>-10714</v>
      </c>
      <c r="C30" s="24" t="n">
        <v>-21949</v>
      </c>
      <c r="D30" s="24" t="n">
        <v>-21573</v>
      </c>
      <c r="E30" s="23" t="n">
        <f aca="false">-Assumptions!E37</f>
        <v>-25000</v>
      </c>
      <c r="F30" s="23" t="n">
        <f aca="false">-Assumptions!F37</f>
        <v>-25000</v>
      </c>
      <c r="G30" s="23" t="n">
        <f aca="false">-Assumptions!G37</f>
        <v>-25000</v>
      </c>
      <c r="H30" s="23" t="n">
        <f aca="false">-Assumptions!H37</f>
        <v>-25000</v>
      </c>
      <c r="I30" s="23" t="n">
        <f aca="false">-Assumptions!I37</f>
        <v>-25000</v>
      </c>
    </row>
    <row r="31" customFormat="false" ht="15" hidden="false" customHeight="true" outlineLevel="0" collapsed="false">
      <c r="A31" s="15" t="s">
        <v>258</v>
      </c>
      <c r="B31" s="39" t="n">
        <f aca="false">SUM(B27:B30)</f>
        <v>37011</v>
      </c>
      <c r="C31" s="39" t="n">
        <f aca="false">SUM(C27:C30)</f>
        <v>53495</v>
      </c>
      <c r="D31" s="39" t="n">
        <f aca="false">SUM(D27:D30)</f>
        <v>-910009</v>
      </c>
      <c r="E31" s="39" t="n">
        <f aca="false">SUM(E27:E30)</f>
        <v>-400000</v>
      </c>
      <c r="F31" s="39" t="n">
        <f aca="false">SUM(F27:F30)</f>
        <v>-400000</v>
      </c>
      <c r="G31" s="39" t="n">
        <f aca="false">SUM(G27:G30)</f>
        <v>-450000</v>
      </c>
      <c r="H31" s="39" t="n">
        <f aca="false">SUM(H27:H30)</f>
        <v>-450000</v>
      </c>
      <c r="I31" s="39" t="n">
        <f aca="false">SUM(I27:I30)</f>
        <v>-500000</v>
      </c>
    </row>
    <row r="33" customFormat="false" ht="15" hidden="false" customHeight="true" outlineLevel="0" collapsed="false">
      <c r="A33" s="6" t="s">
        <v>259</v>
      </c>
      <c r="B33" s="24" t="n">
        <v>4649</v>
      </c>
      <c r="C33" s="24" t="n">
        <v>-11553</v>
      </c>
      <c r="D33" s="24" t="n">
        <v>25744</v>
      </c>
      <c r="E33" s="24" t="n">
        <v>0</v>
      </c>
      <c r="F33" s="24" t="n">
        <v>0</v>
      </c>
      <c r="G33" s="24" t="n">
        <v>0</v>
      </c>
      <c r="H33" s="24" t="n">
        <v>0</v>
      </c>
      <c r="I33" s="24" t="n">
        <v>0</v>
      </c>
    </row>
    <row r="34" customFormat="false" ht="15" hidden="false" customHeight="true" outlineLevel="0" collapsed="false">
      <c r="A34" s="15" t="s">
        <v>260</v>
      </c>
      <c r="B34" s="39" t="n">
        <f aca="false">B16+B24+B31+B33</f>
        <v>57865</v>
      </c>
      <c r="C34" s="39" t="n">
        <f aca="false">C16+C24+C31+C33</f>
        <v>124680</v>
      </c>
      <c r="D34" s="39" t="n">
        <f aca="false">D16+D24+D31+D33</f>
        <v>368225</v>
      </c>
      <c r="E34" s="39" t="n">
        <f aca="false">E16+E24+E31+E33</f>
        <v>253194.954571955</v>
      </c>
      <c r="F34" s="39" t="n">
        <f aca="false">F16+F24+F31+F33</f>
        <v>408459.526048233</v>
      </c>
      <c r="G34" s="39" t="n">
        <f aca="false">G16+G24+G31+G33</f>
        <v>554216.492479855</v>
      </c>
      <c r="H34" s="39" t="n">
        <f aca="false">H16+H24+H31+H33</f>
        <v>780675.164659449</v>
      </c>
      <c r="I34" s="39" t="n">
        <f aca="false">I16+I24+I31+I33</f>
        <v>1042531.10532563</v>
      </c>
    </row>
    <row r="35" customFormat="false" ht="15" hidden="false" customHeight="true" outlineLevel="0" collapsed="false">
      <c r="A35" s="6" t="s">
        <v>261</v>
      </c>
      <c r="B35" s="24" t="n">
        <v>334175</v>
      </c>
      <c r="C35" s="24" t="n">
        <v>392040</v>
      </c>
      <c r="D35" s="24" t="n">
        <v>516720</v>
      </c>
      <c r="E35" s="23" t="n">
        <f aca="false">D38</f>
        <v>882242</v>
      </c>
      <c r="F35" s="23" t="n">
        <f aca="false">E38</f>
        <v>1135436.95457196</v>
      </c>
      <c r="G35" s="23" t="n">
        <f aca="false">F38</f>
        <v>1543896.48062019</v>
      </c>
      <c r="H35" s="23" t="n">
        <f aca="false">G38</f>
        <v>2098112.97310004</v>
      </c>
      <c r="I35" s="23" t="n">
        <f aca="false">H38</f>
        <v>2878788.13775949</v>
      </c>
    </row>
    <row r="36" customFormat="false" ht="15" hidden="false" customHeight="true" outlineLevel="0" collapsed="false">
      <c r="A36" s="15" t="s">
        <v>262</v>
      </c>
      <c r="B36" s="37" t="n">
        <f aca="false">B35+B34</f>
        <v>392040</v>
      </c>
      <c r="C36" s="37" t="n">
        <f aca="false">C35+C34</f>
        <v>516720</v>
      </c>
      <c r="D36" s="37" t="n">
        <f aca="false">D35+D34</f>
        <v>884945</v>
      </c>
      <c r="E36" s="37" t="n">
        <f aca="false">E35+E34</f>
        <v>1135436.95457196</v>
      </c>
      <c r="F36" s="37" t="n">
        <f aca="false">F35+F34</f>
        <v>1543896.48062019</v>
      </c>
      <c r="G36" s="37" t="n">
        <f aca="false">G35+G34</f>
        <v>2098112.97310004</v>
      </c>
      <c r="H36" s="37" t="n">
        <f aca="false">H35+H34</f>
        <v>2878788.13775949</v>
      </c>
      <c r="I36" s="37" t="n">
        <f aca="false">I35+I34</f>
        <v>3921319.24308512</v>
      </c>
    </row>
    <row r="37" customFormat="false" ht="15" hidden="false" customHeight="true" outlineLevel="0" collapsed="false">
      <c r="A37" s="6" t="s">
        <v>263</v>
      </c>
      <c r="B37" s="24" t="n">
        <v>4053</v>
      </c>
      <c r="C37" s="24" t="n">
        <v>4053</v>
      </c>
      <c r="D37" s="24" t="n">
        <v>2703</v>
      </c>
      <c r="E37" s="24" t="n">
        <v>0</v>
      </c>
      <c r="F37" s="24" t="n">
        <v>0</v>
      </c>
      <c r="G37" s="24" t="n">
        <v>0</v>
      </c>
      <c r="H37" s="24" t="n">
        <v>0</v>
      </c>
      <c r="I37" s="24" t="n">
        <v>0</v>
      </c>
    </row>
    <row r="38" customFormat="false" ht="15" hidden="false" customHeight="true" outlineLevel="0" collapsed="false">
      <c r="A38" s="15" t="s">
        <v>264</v>
      </c>
      <c r="B38" s="32" t="n">
        <f aca="false">B36-B37</f>
        <v>387987</v>
      </c>
      <c r="C38" s="32" t="n">
        <f aca="false">C36-C37</f>
        <v>512667</v>
      </c>
      <c r="D38" s="32" t="n">
        <f aca="false">D36-D37</f>
        <v>882242</v>
      </c>
      <c r="E38" s="32" t="n">
        <f aca="false">E36-E37</f>
        <v>1135436.95457196</v>
      </c>
      <c r="F38" s="32" t="n">
        <f aca="false">F36-F37</f>
        <v>1543896.48062019</v>
      </c>
      <c r="G38" s="32" t="n">
        <f aca="false">G36-G37</f>
        <v>2098112.97310004</v>
      </c>
      <c r="H38" s="32" t="n">
        <f aca="false">H36-H37</f>
        <v>2878788.13775949</v>
      </c>
      <c r="I38" s="32" t="n">
        <f aca="false">I36-I37</f>
        <v>3921319.24308512</v>
      </c>
      <c r="K38" s="18" t="s">
        <v>265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46"/>
    <col collapsed="false" customWidth="true" hidden="false" outlineLevel="0" max="6" min="4" style="1" width="14"/>
    <col collapsed="false" customWidth="true" hidden="false" outlineLevel="0" max="7" min="7" style="1" width="13"/>
    <col collapsed="false" customWidth="true" hidden="false" outlineLevel="0" max="8" min="8" style="1" width="10"/>
    <col collapsed="false" customWidth="true" hidden="false" outlineLevel="0" max="9" min="9" style="1" width="12"/>
  </cols>
  <sheetData>
    <row r="1" customFormat="false" ht="15" hidden="false" customHeight="true" outlineLevel="0" collapsed="false">
      <c r="A1" s="12" t="s">
        <v>266</v>
      </c>
    </row>
    <row r="2" customFormat="false" ht="15" hidden="false" customHeight="true" outlineLevel="0" collapsed="false">
      <c r="A2" s="11" t="s">
        <v>267</v>
      </c>
    </row>
    <row r="4" customFormat="false" ht="15" hidden="false" customHeight="true" outlineLevel="0" collapsed="false">
      <c r="A4" s="6" t="s">
        <v>268</v>
      </c>
      <c r="B4" s="20" t="n">
        <v>0.1</v>
      </c>
    </row>
    <row r="6" customFormat="false" ht="15" hidden="false" customHeight="true" outlineLevel="0" collapsed="false">
      <c r="A6" s="45" t="s">
        <v>269</v>
      </c>
      <c r="B6" s="14" t="s">
        <v>270</v>
      </c>
      <c r="C6" s="14" t="s">
        <v>271</v>
      </c>
      <c r="D6" s="14" t="s">
        <v>272</v>
      </c>
      <c r="E6" s="14" t="s">
        <v>273</v>
      </c>
      <c r="F6" s="14" t="s">
        <v>274</v>
      </c>
      <c r="G6" s="14" t="s">
        <v>275</v>
      </c>
      <c r="H6" s="14" t="s">
        <v>276</v>
      </c>
      <c r="I6" s="14" t="s">
        <v>277</v>
      </c>
    </row>
    <row r="7" customFormat="false" ht="15" hidden="false" customHeight="true" outlineLevel="0" collapsed="false">
      <c r="A7" s="6" t="s">
        <v>163</v>
      </c>
      <c r="B7" s="24" t="n">
        <v>2990000</v>
      </c>
      <c r="C7" s="18" t="s">
        <v>278</v>
      </c>
      <c r="D7" s="46"/>
      <c r="E7" s="23" t="n">
        <f aca="false">IF(D7="",B7,D7)</f>
        <v>2990000</v>
      </c>
      <c r="F7" s="38" t="n">
        <f aca="false">'Income Statement'!D7</f>
        <v>3131266</v>
      </c>
      <c r="G7" s="23" t="n">
        <f aca="false">F7-E7</f>
        <v>141266</v>
      </c>
      <c r="H7" s="17" t="n">
        <f aca="false">IF(E7=0,"",G7/E7)</f>
        <v>0.0472461538461539</v>
      </c>
      <c r="I7" s="47" t="str">
        <f aca="false">IF(H7="","",IF(ABS(H7)&gt;$B$4,"⚠ REVIEW","OK"))</f>
        <v>OK</v>
      </c>
    </row>
    <row r="8" customFormat="false" ht="15" hidden="false" customHeight="true" outlineLevel="0" collapsed="false">
      <c r="A8" s="6" t="s">
        <v>168</v>
      </c>
      <c r="B8" s="24" t="n">
        <v>2600000</v>
      </c>
      <c r="C8" s="18" t="s">
        <v>279</v>
      </c>
      <c r="D8" s="46"/>
      <c r="E8" s="23" t="n">
        <f aca="false">IF(D8="",B8,D8)</f>
        <v>2600000</v>
      </c>
      <c r="F8" s="38" t="n">
        <f aca="false">'Income Statement'!D12</f>
        <v>2622779</v>
      </c>
      <c r="G8" s="23" t="n">
        <f aca="false">F8-E8</f>
        <v>22779</v>
      </c>
      <c r="H8" s="17" t="n">
        <f aca="false">IF(E8=0,"",G8/E8)</f>
        <v>0.00876115384615385</v>
      </c>
      <c r="I8" s="47" t="str">
        <f aca="false">IF(H8="","",IF(ABS(H8)&gt;$B$4,"⚠ REVIEW","OK"))</f>
        <v>OK</v>
      </c>
    </row>
    <row r="9" customFormat="false" ht="15" hidden="false" customHeight="true" outlineLevel="0" collapsed="false">
      <c r="A9" s="6" t="s">
        <v>174</v>
      </c>
      <c r="B9" s="24" t="n">
        <v>2570000</v>
      </c>
      <c r="C9" s="18" t="s">
        <v>279</v>
      </c>
      <c r="D9" s="46"/>
      <c r="E9" s="23" t="n">
        <f aca="false">IF(D9="",B9,D9)</f>
        <v>2570000</v>
      </c>
      <c r="F9" s="38" t="n">
        <f aca="false">'Income Statement'!D19</f>
        <v>2615400</v>
      </c>
      <c r="G9" s="23" t="n">
        <f aca="false">F9-E9</f>
        <v>45400</v>
      </c>
      <c r="H9" s="17" t="n">
        <f aca="false">IF(E9=0,"",G9/E9)</f>
        <v>0.0176653696498054</v>
      </c>
      <c r="I9" s="47" t="str">
        <f aca="false">IF(H9="","",IF(ABS(H9)&gt;$B$4,"⚠ REVIEW","OK"))</f>
        <v>OK</v>
      </c>
    </row>
    <row r="10" customFormat="false" ht="15" hidden="false" customHeight="true" outlineLevel="0" collapsed="false">
      <c r="A10" s="6" t="s">
        <v>280</v>
      </c>
      <c r="B10" s="24" t="n">
        <v>30000</v>
      </c>
      <c r="C10" s="18" t="s">
        <v>279</v>
      </c>
      <c r="D10" s="46"/>
      <c r="E10" s="23" t="n">
        <f aca="false">IF(D10="",B10,D10)</f>
        <v>30000</v>
      </c>
      <c r="F10" s="38" t="n">
        <f aca="false">'Income Statement'!D20</f>
        <v>7379</v>
      </c>
      <c r="G10" s="23" t="n">
        <f aca="false">F10-E10</f>
        <v>-22621</v>
      </c>
      <c r="H10" s="17" t="n">
        <f aca="false">IF(E10=0,"",G10/E10)</f>
        <v>-0.754033333333333</v>
      </c>
      <c r="I10" s="47" t="str">
        <f aca="false">IF(H10="","",IF(ABS(H10)&gt;$B$4,"⚠ REVIEW","OK"))</f>
        <v>⚠ REVIEW</v>
      </c>
    </row>
    <row r="11" customFormat="false" ht="15" hidden="false" customHeight="true" outlineLevel="0" collapsed="false">
      <c r="A11" s="6" t="s">
        <v>281</v>
      </c>
      <c r="B11" s="24" t="n">
        <v>60000</v>
      </c>
      <c r="C11" s="18" t="s">
        <v>279</v>
      </c>
      <c r="D11" s="46"/>
      <c r="E11" s="23" t="n">
        <f aca="false">IF(D11="",B11,D11)</f>
        <v>60000</v>
      </c>
      <c r="F11" s="38" t="n">
        <f aca="false">'Income Statement'!D27</f>
        <v>45911</v>
      </c>
      <c r="G11" s="23" t="n">
        <f aca="false">F11-E11</f>
        <v>-14089</v>
      </c>
      <c r="H11" s="17" t="n">
        <f aca="false">IF(E11=0,"",G11/E11)</f>
        <v>-0.234816666666667</v>
      </c>
      <c r="I11" s="47" t="str">
        <f aca="false">IF(H11="","",IF(ABS(H11)&gt;$B$4,"⚠ REVIEW","OK"))</f>
        <v>⚠ REVIEW</v>
      </c>
    </row>
    <row r="12" customFormat="false" ht="15" hidden="false" customHeight="true" outlineLevel="0" collapsed="false">
      <c r="A12" s="6" t="s">
        <v>282</v>
      </c>
      <c r="B12" s="24" t="n">
        <v>545000</v>
      </c>
      <c r="C12" s="18" t="s">
        <v>283</v>
      </c>
      <c r="D12" s="46"/>
      <c r="E12" s="23" t="n">
        <f aca="false">IF(D12="",B12,D12)</f>
        <v>545000</v>
      </c>
      <c r="F12" s="24" t="n">
        <v>581901</v>
      </c>
      <c r="G12" s="23" t="n">
        <f aca="false">F12-E12</f>
        <v>36901</v>
      </c>
      <c r="H12" s="17" t="n">
        <f aca="false">IF(E12=0,"",G12/E12)</f>
        <v>0.0677082568807339</v>
      </c>
      <c r="I12" s="47" t="str">
        <f aca="false">IF(H12="","",IF(ABS(H12)&gt;$B$4,"⚠ REVIEW","OK"))</f>
        <v>OK</v>
      </c>
    </row>
    <row r="13" customFormat="false" ht="15" hidden="false" customHeight="true" outlineLevel="0" collapsed="false">
      <c r="A13" s="6" t="s">
        <v>284</v>
      </c>
      <c r="B13" s="48" t="n">
        <v>9.15</v>
      </c>
      <c r="C13" s="18" t="s">
        <v>285</v>
      </c>
      <c r="D13" s="49"/>
      <c r="E13" s="50" t="n">
        <f aca="false">IF(D13="",B13,D13)</f>
        <v>9.15</v>
      </c>
      <c r="F13" s="48" t="n">
        <v>9.7</v>
      </c>
      <c r="G13" s="50" t="n">
        <f aca="false">F13-E13</f>
        <v>0.549999999999999</v>
      </c>
      <c r="H13" s="17" t="n">
        <f aca="false">IF(E13=0,"",G13/E13)</f>
        <v>0.0601092896174862</v>
      </c>
      <c r="I13" s="47" t="str">
        <f aca="false">IF(H13="","",IF(ABS(H13)&gt;$B$4,"⚠ REVIEW","OK"))</f>
        <v>OK</v>
      </c>
    </row>
    <row r="14" customFormat="false" ht="15" hidden="false" customHeight="true" outlineLevel="0" collapsed="false">
      <c r="A14" s="6" t="s">
        <v>244</v>
      </c>
      <c r="B14" s="24" t="n">
        <v>700000</v>
      </c>
      <c r="C14" s="18" t="s">
        <v>279</v>
      </c>
      <c r="D14" s="46"/>
      <c r="E14" s="23" t="n">
        <f aca="false">IF(D14="",B14,D14)</f>
        <v>700000</v>
      </c>
      <c r="F14" s="38" t="n">
        <f aca="false">'Cash Flow'!D16</f>
        <v>760717</v>
      </c>
      <c r="G14" s="23" t="n">
        <f aca="false">F14-E14</f>
        <v>60717</v>
      </c>
      <c r="H14" s="17" t="n">
        <f aca="false">IF(E14=0,"",G14/E14)</f>
        <v>0.0867385714285714</v>
      </c>
      <c r="I14" s="47" t="str">
        <f aca="false">IF(H14="","",IF(ABS(H14)&gt;$B$4,"⚠ REVIEW","OK"))</f>
        <v>OK</v>
      </c>
    </row>
    <row r="15" customFormat="false" ht="15" hidden="false" customHeight="true" outlineLevel="0" collapsed="false">
      <c r="A15" s="6" t="s">
        <v>286</v>
      </c>
      <c r="B15" s="24" t="n">
        <v>550000</v>
      </c>
      <c r="C15" s="18" t="s">
        <v>279</v>
      </c>
      <c r="D15" s="46"/>
      <c r="E15" s="23" t="n">
        <f aca="false">IF(D15="",B15,D15)</f>
        <v>550000</v>
      </c>
      <c r="F15" s="24" t="n">
        <v>594916</v>
      </c>
      <c r="G15" s="23" t="n">
        <f aca="false">F15-E15</f>
        <v>44916</v>
      </c>
      <c r="H15" s="17" t="n">
        <f aca="false">IF(E15=0,"",G15/E15)</f>
        <v>0.0816654545454545</v>
      </c>
      <c r="I15" s="47" t="str">
        <f aca="false">IF(H15="","",IF(ABS(H15)&gt;$B$4,"⚠ REVIEW","OK"))</f>
        <v>OK</v>
      </c>
    </row>
    <row r="17" customFormat="false" ht="15" hidden="false" customHeight="true" outlineLevel="0" collapsed="false">
      <c r="A17" s="51" t="s">
        <v>287</v>
      </c>
    </row>
    <row r="18" customFormat="false" ht="15" hidden="false" customHeight="true" outlineLevel="0" collapsed="false">
      <c r="A18" s="18" t="s">
        <v>288</v>
      </c>
    </row>
    <row r="19" customFormat="false" ht="15" hidden="false" customHeight="true" outlineLevel="0" collapsed="false">
      <c r="A19" s="18" t="s">
        <v>289</v>
      </c>
    </row>
    <row r="20" customFormat="false" ht="15" hidden="false" customHeight="true" outlineLevel="0" collapsed="false">
      <c r="A20" s="18" t="s">
        <v>290</v>
      </c>
    </row>
    <row r="21" customFormat="false" ht="15" hidden="false" customHeight="true" outlineLevel="0" collapsed="false">
      <c r="A21" s="18" t="s">
        <v>291</v>
      </c>
    </row>
  </sheetData>
  <sheetProtection sheet="true" password="824d"/>
  <conditionalFormatting sqref="A7:I15">
    <cfRule type="expression" priority="2" aboveAverage="0" equalAverage="0" bottom="0" percent="0" rank="0" text="" dxfId="0">
      <formula>ABS($H7)&gt;$B$4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4"/>
    <col collapsed="false" customWidth="true" hidden="false" outlineLevel="0" max="5" min="5" style="1" width="2"/>
    <col collapsed="false" customWidth="true" hidden="false" outlineLevel="0" max="6" min="6" style="1" width="62"/>
  </cols>
  <sheetData>
    <row r="1" customFormat="false" ht="15" hidden="false" customHeight="true" outlineLevel="0" collapsed="false">
      <c r="A1" s="12" t="s">
        <v>292</v>
      </c>
    </row>
    <row r="2" customFormat="false" ht="15" hidden="false" customHeight="true" outlineLevel="0" collapsed="false">
      <c r="A2" s="11" t="s">
        <v>293</v>
      </c>
    </row>
    <row r="4" customFormat="false" ht="15" hidden="false" customHeight="true" outlineLevel="0" collapsed="false">
      <c r="A4" s="6" t="s">
        <v>294</v>
      </c>
      <c r="B4" s="52" t="s">
        <v>295</v>
      </c>
      <c r="C4" s="6" t="s">
        <v>296</v>
      </c>
      <c r="D4" s="53" t="s">
        <v>297</v>
      </c>
    </row>
    <row r="6" customFormat="false" ht="15" hidden="false" customHeight="true" outlineLevel="0" collapsed="false">
      <c r="A6" s="15" t="s">
        <v>298</v>
      </c>
    </row>
    <row r="7" customFormat="false" ht="15" hidden="false" customHeight="true" outlineLevel="0" collapsed="false">
      <c r="A7" s="6" t="s">
        <v>299</v>
      </c>
      <c r="B7" s="19" t="n">
        <v>0.0375</v>
      </c>
      <c r="F7" s="18" t="s">
        <v>300</v>
      </c>
    </row>
    <row r="8" customFormat="false" ht="15" hidden="false" customHeight="true" outlineLevel="0" collapsed="false">
      <c r="A8" s="6" t="s">
        <v>301</v>
      </c>
      <c r="B8" s="19" t="n">
        <v>0.0364</v>
      </c>
      <c r="F8" s="18" t="s">
        <v>302</v>
      </c>
    </row>
    <row r="9" customFormat="false" ht="15" hidden="false" customHeight="true" outlineLevel="0" collapsed="false">
      <c r="A9" s="6" t="s">
        <v>303</v>
      </c>
      <c r="B9" s="19" t="n">
        <v>0.0384</v>
      </c>
      <c r="F9" s="18" t="s">
        <v>304</v>
      </c>
    </row>
    <row r="10" customFormat="false" ht="15" hidden="false" customHeight="true" outlineLevel="0" collapsed="false">
      <c r="A10" s="6" t="s">
        <v>305</v>
      </c>
      <c r="B10" s="19" t="n">
        <v>0.0418</v>
      </c>
      <c r="F10" s="18" t="s">
        <v>306</v>
      </c>
    </row>
    <row r="11" customFormat="false" ht="15" hidden="false" customHeight="true" outlineLevel="0" collapsed="false">
      <c r="A11" s="6" t="s">
        <v>307</v>
      </c>
      <c r="B11" s="19" t="n">
        <v>0.0455</v>
      </c>
      <c r="F11" s="18" t="s">
        <v>306</v>
      </c>
    </row>
    <row r="12" customFormat="false" ht="15" hidden="false" customHeight="true" outlineLevel="0" collapsed="false">
      <c r="A12" s="6" t="s">
        <v>308</v>
      </c>
      <c r="B12" s="19" t="n">
        <v>0.0506</v>
      </c>
      <c r="F12" s="18" t="s">
        <v>306</v>
      </c>
    </row>
    <row r="14" customFormat="false" ht="15" hidden="false" customHeight="true" outlineLevel="0" collapsed="false">
      <c r="A14" s="15" t="s">
        <v>309</v>
      </c>
    </row>
    <row r="15" customFormat="false" ht="15" hidden="false" customHeight="true" outlineLevel="0" collapsed="false">
      <c r="A15" s="54"/>
      <c r="B15" s="54" t="s">
        <v>310</v>
      </c>
      <c r="C15" s="54" t="s">
        <v>311</v>
      </c>
      <c r="D15" s="54" t="s">
        <v>312</v>
      </c>
    </row>
    <row r="16" customFormat="false" ht="15" hidden="false" customHeight="true" outlineLevel="0" collapsed="false">
      <c r="A16" s="6" t="s">
        <v>313</v>
      </c>
      <c r="B16" s="55" t="n">
        <v>132.38</v>
      </c>
      <c r="C16" s="55" t="n">
        <v>224.26</v>
      </c>
      <c r="D16" s="55" t="n">
        <v>17.28</v>
      </c>
    </row>
    <row r="17" customFormat="false" ht="15" hidden="false" customHeight="true" outlineLevel="0" collapsed="false">
      <c r="A17" s="6" t="s">
        <v>314</v>
      </c>
      <c r="B17" s="24" t="n">
        <v>317400</v>
      </c>
      <c r="C17" s="24" t="n">
        <v>11490</v>
      </c>
      <c r="D17" s="24" t="n">
        <v>22170</v>
      </c>
    </row>
    <row r="18" customFormat="false" ht="15" hidden="false" customHeight="true" outlineLevel="0" collapsed="false">
      <c r="A18" s="6" t="s">
        <v>315</v>
      </c>
      <c r="B18" s="24" t="n">
        <v>309500</v>
      </c>
      <c r="C18" s="24" t="n">
        <v>10040</v>
      </c>
      <c r="D18" s="24" t="n">
        <v>20520</v>
      </c>
    </row>
    <row r="19" customFormat="false" ht="15" hidden="false" customHeight="true" outlineLevel="0" collapsed="false">
      <c r="A19" s="6" t="s">
        <v>316</v>
      </c>
      <c r="B19" s="56" t="n">
        <v>148.8</v>
      </c>
      <c r="C19" s="56" t="n">
        <v>119.2</v>
      </c>
      <c r="D19" s="56" t="n">
        <v>38.8</v>
      </c>
    </row>
    <row r="20" customFormat="false" ht="15" hidden="false" customHeight="true" outlineLevel="0" collapsed="false">
      <c r="A20" s="6" t="s">
        <v>317</v>
      </c>
      <c r="B20" s="56" t="n">
        <v>83.3</v>
      </c>
      <c r="C20" s="56" t="n">
        <v>16.4</v>
      </c>
      <c r="D20" s="56" t="n">
        <v>26.4</v>
      </c>
    </row>
    <row r="21" customFormat="false" ht="15" hidden="false" customHeight="true" outlineLevel="0" collapsed="false">
      <c r="A21" s="6" t="s">
        <v>318</v>
      </c>
      <c r="B21" s="56" t="n">
        <v>59.3</v>
      </c>
      <c r="C21" s="56" t="n">
        <v>3</v>
      </c>
      <c r="D21" s="56" t="n">
        <v>5.2</v>
      </c>
    </row>
    <row r="22" customFormat="false" ht="15" hidden="false" customHeight="true" outlineLevel="0" collapsed="false">
      <c r="A22" s="6" t="s">
        <v>319</v>
      </c>
      <c r="B22" s="24" t="n">
        <v>5220</v>
      </c>
      <c r="C22" s="24" t="n">
        <v>3300</v>
      </c>
      <c r="D22" s="24" t="n">
        <v>3910</v>
      </c>
    </row>
    <row r="24" customFormat="false" ht="15" hidden="false" customHeight="true" outlineLevel="0" collapsed="false">
      <c r="A24" s="15" t="s">
        <v>320</v>
      </c>
    </row>
    <row r="25" customFormat="false" ht="15" hidden="false" customHeight="true" outlineLevel="0" collapsed="false">
      <c r="A25" s="6" t="s">
        <v>321</v>
      </c>
      <c r="B25" s="57" t="n">
        <f aca="false">C21</f>
        <v>3</v>
      </c>
      <c r="F25" s="18" t="s">
        <v>322</v>
      </c>
    </row>
    <row r="26" customFormat="false" ht="15" hidden="false" customHeight="true" outlineLevel="0" collapsed="false">
      <c r="A26" s="6" t="s">
        <v>323</v>
      </c>
      <c r="B26" s="38" t="n">
        <f aca="false">'Income Statement'!E7</f>
        <v>3709070.0731579</v>
      </c>
    </row>
    <row r="27" customFormat="false" ht="15" hidden="false" customHeight="true" outlineLevel="0" collapsed="false">
      <c r="A27" s="6" t="s">
        <v>324</v>
      </c>
      <c r="B27" s="39" t="n">
        <f aca="false">B25*B26/1000</f>
        <v>11127.2102194737</v>
      </c>
    </row>
    <row r="28" customFormat="false" ht="15" hidden="false" customHeight="true" outlineLevel="0" collapsed="false">
      <c r="A28" s="6" t="s">
        <v>325</v>
      </c>
      <c r="B28" s="23" t="n">
        <f aca="false">C18</f>
        <v>10040</v>
      </c>
    </row>
    <row r="29" customFormat="false" ht="15" hidden="false" customHeight="true" outlineLevel="0" collapsed="false">
      <c r="A29" s="6" t="s">
        <v>326</v>
      </c>
      <c r="B29" s="42" t="n">
        <f aca="false">B27/B28-1</f>
        <v>0.108287870465506</v>
      </c>
    </row>
    <row r="31" customFormat="false" ht="15" hidden="false" customHeight="true" outlineLevel="0" collapsed="false">
      <c r="A31" s="6" t="s">
        <v>327</v>
      </c>
      <c r="B31" s="57" t="n">
        <f aca="false">C20</f>
        <v>16.4</v>
      </c>
      <c r="F31" s="18" t="s">
        <v>328</v>
      </c>
    </row>
    <row r="32" customFormat="false" ht="15" hidden="false" customHeight="true" outlineLevel="0" collapsed="false">
      <c r="A32" s="6" t="s">
        <v>329</v>
      </c>
      <c r="B32" s="38" t="n">
        <f aca="false">'Income Statement'!E27</f>
        <v>103043.332896</v>
      </c>
    </row>
    <row r="33" customFormat="false" ht="15" hidden="false" customHeight="true" outlineLevel="0" collapsed="false">
      <c r="A33" s="6" t="s">
        <v>330</v>
      </c>
      <c r="B33" s="39" t="n">
        <f aca="false">B31*B32/1000</f>
        <v>1689.9106594944</v>
      </c>
    </row>
    <row r="34" customFormat="false" ht="15" hidden="false" customHeight="true" outlineLevel="0" collapsed="false">
      <c r="A34" s="6" t="s">
        <v>331</v>
      </c>
      <c r="B34" s="23" t="n">
        <f aca="false">C17</f>
        <v>11490</v>
      </c>
    </row>
    <row r="35" customFormat="false" ht="15" hidden="false" customHeight="true" outlineLevel="0" collapsed="false">
      <c r="A35" s="6" t="s">
        <v>332</v>
      </c>
      <c r="B35" s="42" t="n">
        <f aca="false">B33/B34-1</f>
        <v>-0.852923354265066</v>
      </c>
    </row>
    <row r="37" customFormat="false" ht="15" hidden="false" customHeight="true" outlineLevel="0" collapsed="false">
      <c r="A37" s="15" t="s">
        <v>333</v>
      </c>
    </row>
    <row r="38" customFormat="false" ht="15" hidden="false" customHeight="true" outlineLevel="0" collapsed="false">
      <c r="A38" s="18" t="s">
        <v>334</v>
      </c>
    </row>
    <row r="39" customFormat="false" ht="15" hidden="false" customHeight="true" outlineLevel="0" collapsed="false">
      <c r="A39" s="18" t="s">
        <v>335</v>
      </c>
    </row>
    <row r="40" customFormat="false" ht="15" hidden="false" customHeight="true" outlineLevel="0" collapsed="false">
      <c r="A40" s="18" t="s">
        <v>336</v>
      </c>
    </row>
    <row r="41" customFormat="false" ht="15" hidden="false" customHeight="true" outlineLevel="0" collapsed="false">
      <c r="A41" s="18" t="s">
        <v>337</v>
      </c>
    </row>
    <row r="42" customFormat="false" ht="15" hidden="false" customHeight="true" outlineLevel="0" collapsed="false">
      <c r="A42" s="18" t="s">
        <v>338</v>
      </c>
    </row>
    <row r="43" customFormat="false" ht="15" hidden="false" customHeight="true" outlineLevel="0" collapsed="false">
      <c r="A43" s="18" t="s">
        <v>339</v>
      </c>
    </row>
    <row r="44" customFormat="false" ht="15" hidden="false" customHeight="true" outlineLevel="0" collapsed="false">
      <c r="A44" s="18" t="s">
        <v>340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4" min="2" style="1" width="14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2"/>
    <col collapsed="false" customWidth="true" hidden="false" outlineLevel="0" max="8" min="8" style="1" width="78"/>
  </cols>
  <sheetData>
    <row r="1" customFormat="false" ht="15" hidden="false" customHeight="true" outlineLevel="0" collapsed="false">
      <c r="A1" s="12" t="s">
        <v>341</v>
      </c>
    </row>
    <row r="2" customFormat="false" ht="15" hidden="false" customHeight="true" outlineLevel="0" collapsed="false">
      <c r="A2" s="11" t="s">
        <v>342</v>
      </c>
    </row>
    <row r="4" customFormat="false" ht="32.25" hidden="false" customHeight="true" outlineLevel="0" collapsed="false">
      <c r="A4" s="58" t="s">
        <v>269</v>
      </c>
      <c r="B4" s="59" t="s">
        <v>343</v>
      </c>
      <c r="C4" s="59" t="s">
        <v>344</v>
      </c>
      <c r="D4" s="59" t="s">
        <v>345</v>
      </c>
      <c r="E4" s="59" t="s">
        <v>346</v>
      </c>
      <c r="F4" s="59" t="s">
        <v>347</v>
      </c>
      <c r="G4" s="59"/>
      <c r="H4" s="58" t="s">
        <v>348</v>
      </c>
    </row>
    <row r="5" customFormat="false" ht="24" hidden="false" customHeight="true" outlineLevel="0" collapsed="false">
      <c r="A5" s="8" t="s">
        <v>349</v>
      </c>
      <c r="B5" s="60" t="n">
        <f aca="false">'Income Statement'!D7/1000</f>
        <v>3131.266</v>
      </c>
      <c r="C5" s="24" t="n">
        <v>41533</v>
      </c>
      <c r="D5" s="24" t="n">
        <v>1232</v>
      </c>
      <c r="E5" s="23" t="n">
        <f aca="false">MEDIAN(B5:D5)</f>
        <v>3131.266</v>
      </c>
      <c r="F5" s="61" t="s">
        <v>350</v>
      </c>
      <c r="H5" s="62" t="s">
        <v>351</v>
      </c>
    </row>
    <row r="6" customFormat="false" ht="24" hidden="false" customHeight="true" outlineLevel="0" collapsed="false">
      <c r="A6" s="8" t="s">
        <v>352</v>
      </c>
      <c r="B6" s="63" t="n">
        <f aca="false">'Income Statement'!D7/'Income Statement'!C7-1</f>
        <v>0.191708756050805</v>
      </c>
      <c r="C6" s="19" t="n">
        <v>0.1</v>
      </c>
      <c r="D6" s="19" t="n">
        <v>0.27</v>
      </c>
      <c r="E6" s="17" t="n">
        <f aca="false">MEDIAN(B6:D6)</f>
        <v>0.191708756050805</v>
      </c>
      <c r="F6" s="19" t="n">
        <v>0.13</v>
      </c>
      <c r="H6" s="62" t="s">
        <v>353</v>
      </c>
    </row>
    <row r="7" customFormat="false" ht="24" hidden="false" customHeight="true" outlineLevel="0" collapsed="false">
      <c r="A7" s="8" t="s">
        <v>354</v>
      </c>
      <c r="B7" s="63" t="n">
        <f aca="false">'Income Statement'!E7/'Income Statement'!D7-1</f>
        <v>0.184527304022684</v>
      </c>
      <c r="C7" s="64" t="s">
        <v>355</v>
      </c>
      <c r="D7" s="64" t="s">
        <v>355</v>
      </c>
      <c r="F7" s="61" t="s">
        <v>350</v>
      </c>
      <c r="H7" s="62" t="s">
        <v>356</v>
      </c>
    </row>
    <row r="8" customFormat="false" ht="24" hidden="false" customHeight="true" outlineLevel="0" collapsed="false">
      <c r="A8" s="8" t="s">
        <v>357</v>
      </c>
      <c r="B8" s="63" t="n">
        <f aca="false">'Income Statement'!D12/'Income Statement'!D7</f>
        <v>0.83760977189418</v>
      </c>
      <c r="C8" s="19" t="n">
        <v>0.777</v>
      </c>
      <c r="D8" s="19" t="n">
        <v>0.89</v>
      </c>
      <c r="E8" s="17" t="n">
        <f aca="false">MEDIAN(B8:D8)</f>
        <v>0.83760977189418</v>
      </c>
      <c r="F8" s="19" t="n">
        <v>0.76</v>
      </c>
      <c r="H8" s="62" t="s">
        <v>358</v>
      </c>
    </row>
    <row r="9" customFormat="false" ht="24" hidden="false" customHeight="true" outlineLevel="0" collapsed="false">
      <c r="A9" s="8" t="s">
        <v>359</v>
      </c>
      <c r="B9" s="63" t="n">
        <f aca="false">'Income Statement'!D20/'Income Statement'!D7</f>
        <v>0.00235655482478972</v>
      </c>
      <c r="C9" s="19" t="n">
        <v>0.201</v>
      </c>
      <c r="D9" s="19" t="n">
        <v>-0.001</v>
      </c>
      <c r="E9" s="17" t="n">
        <f aca="false">MEDIAN(B9:D9)</f>
        <v>0.00235655482478972</v>
      </c>
      <c r="F9" s="19" t="n">
        <v>0.02</v>
      </c>
      <c r="H9" s="62" t="s">
        <v>360</v>
      </c>
    </row>
    <row r="10" customFormat="false" ht="24" hidden="false" customHeight="true" outlineLevel="0" collapsed="false">
      <c r="A10" s="8" t="s">
        <v>361</v>
      </c>
      <c r="B10" s="63" t="n">
        <f aca="false">('Cash Flow'!D16+'Cash Flow'!D19+'Cash Flow'!D20)/'Income Statement'!D7</f>
        <v>0.18424752160947</v>
      </c>
      <c r="C10" s="19" t="n">
        <v>0.347</v>
      </c>
      <c r="D10" s="19" t="n">
        <v>0.262</v>
      </c>
      <c r="E10" s="17" t="n">
        <f aca="false">MEDIAN(B10:D10)</f>
        <v>0.262</v>
      </c>
      <c r="F10" s="19" t="n">
        <v>0.21</v>
      </c>
      <c r="H10" s="62" t="s">
        <v>362</v>
      </c>
    </row>
    <row r="11" customFormat="false" ht="24" hidden="false" customHeight="true" outlineLevel="0" collapsed="false">
      <c r="A11" s="8" t="s">
        <v>363</v>
      </c>
      <c r="B11" s="42" t="n">
        <f aca="false">B6+B10</f>
        <v>0.375956277660275</v>
      </c>
      <c r="C11" s="17" t="n">
        <f aca="false">C6+C10</f>
        <v>0.447</v>
      </c>
      <c r="D11" s="17" t="n">
        <f aca="false">D6+D10</f>
        <v>0.532</v>
      </c>
      <c r="E11" s="17" t="n">
        <f aca="false">MEDIAN(B11:D11)</f>
        <v>0.447</v>
      </c>
      <c r="F11" s="19" t="n">
        <v>0.34</v>
      </c>
      <c r="H11" s="62" t="s">
        <v>364</v>
      </c>
    </row>
    <row r="12" customFormat="false" ht="24" hidden="false" customHeight="true" outlineLevel="0" collapsed="false">
      <c r="A12" s="8" t="s">
        <v>365</v>
      </c>
      <c r="B12" s="65" t="n">
        <f aca="false">'Market Inputs'!C18/'Market Inputs'!C22</f>
        <v>3.04242424242424</v>
      </c>
      <c r="C12" s="56" t="n">
        <v>4</v>
      </c>
      <c r="D12" s="56" t="n">
        <v>1.8</v>
      </c>
      <c r="E12" s="35" t="n">
        <f aca="false">MEDIAN(B12:D12)</f>
        <v>3.04242424242424</v>
      </c>
      <c r="F12" s="56" t="n">
        <v>5.4</v>
      </c>
      <c r="H12" s="62" t="s">
        <v>366</v>
      </c>
    </row>
    <row r="13" customFormat="false" ht="24" hidden="false" customHeight="true" outlineLevel="0" collapsed="false">
      <c r="A13" s="8" t="s">
        <v>367</v>
      </c>
      <c r="B13" s="65" t="n">
        <f aca="false">'Market Inputs'!C20</f>
        <v>16.4</v>
      </c>
      <c r="C13" s="56" t="n">
        <v>12.3</v>
      </c>
      <c r="D13" s="56" t="n">
        <v>17.1</v>
      </c>
      <c r="E13" s="35" t="n">
        <f aca="false">MEDIAN(B13:D13)</f>
        <v>16.4</v>
      </c>
      <c r="F13" s="66" t="s">
        <v>368</v>
      </c>
      <c r="H13" s="62" t="s">
        <v>369</v>
      </c>
    </row>
    <row r="15" customFormat="false" ht="15" hidden="false" customHeight="true" outlineLevel="0" collapsed="false">
      <c r="A15" s="15" t="s">
        <v>370</v>
      </c>
    </row>
    <row r="16" customFormat="false" ht="15" hidden="false" customHeight="true" outlineLevel="0" collapsed="false">
      <c r="A16" s="18" t="s">
        <v>371</v>
      </c>
    </row>
    <row r="17" customFormat="false" ht="15" hidden="false" customHeight="true" outlineLevel="0" collapsed="false">
      <c r="A17" s="18" t="s">
        <v>372</v>
      </c>
    </row>
    <row r="19" customFormat="false" ht="15" hidden="false" customHeight="true" outlineLevel="0" collapsed="false">
      <c r="A19" s="15" t="s">
        <v>373</v>
      </c>
    </row>
    <row r="20" customFormat="false" ht="15" hidden="false" customHeight="true" outlineLevel="0" collapsed="false">
      <c r="A20" s="8" t="s">
        <v>374</v>
      </c>
    </row>
    <row r="21" customFormat="false" ht="15" hidden="false" customHeight="true" outlineLevel="0" collapsed="false">
      <c r="A21" s="8" t="s">
        <v>375</v>
      </c>
    </row>
    <row r="22" customFormat="false" ht="15" hidden="false" customHeight="true" outlineLevel="0" collapsed="false">
      <c r="A22" s="8" t="s">
        <v>376</v>
      </c>
    </row>
    <row r="24" customFormat="false" ht="15" hidden="false" customHeight="true" outlineLevel="0" collapsed="false">
      <c r="A24" s="18" t="s">
        <v>377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78"/>
    <col collapsed="false" customWidth="true" hidden="false" outlineLevel="0" max="5" min="5" style="1" width="60"/>
  </cols>
  <sheetData>
    <row r="1" customFormat="false" ht="15" hidden="false" customHeight="true" outlineLevel="0" collapsed="false">
      <c r="A1" s="12" t="s">
        <v>378</v>
      </c>
    </row>
    <row r="2" customFormat="false" ht="15" hidden="false" customHeight="true" outlineLevel="0" collapsed="false">
      <c r="A2" s="11" t="s">
        <v>379</v>
      </c>
    </row>
    <row r="4" customFormat="false" ht="15" hidden="false" customHeight="true" outlineLevel="0" collapsed="false">
      <c r="A4" s="45" t="s">
        <v>380</v>
      </c>
      <c r="B4" s="45" t="s">
        <v>381</v>
      </c>
      <c r="C4" s="45" t="s">
        <v>382</v>
      </c>
      <c r="D4" s="45" t="s">
        <v>383</v>
      </c>
      <c r="E4" s="45" t="s">
        <v>384</v>
      </c>
    </row>
    <row r="5" customFormat="false" ht="33.75" hidden="false" customHeight="true" outlineLevel="0" collapsed="false">
      <c r="A5" s="67" t="s">
        <v>385</v>
      </c>
      <c r="B5" s="67" t="s">
        <v>386</v>
      </c>
      <c r="C5" s="67" t="s">
        <v>387</v>
      </c>
      <c r="D5" s="68" t="s">
        <v>388</v>
      </c>
      <c r="E5" s="68" t="s">
        <v>389</v>
      </c>
    </row>
    <row r="6" customFormat="false" ht="33.75" hidden="false" customHeight="true" outlineLevel="0" collapsed="false">
      <c r="A6" s="67" t="s">
        <v>390</v>
      </c>
      <c r="B6" s="67" t="s">
        <v>391</v>
      </c>
      <c r="C6" s="67" t="s">
        <v>387</v>
      </c>
      <c r="D6" s="68" t="s">
        <v>392</v>
      </c>
      <c r="E6" s="68" t="s">
        <v>393</v>
      </c>
    </row>
    <row r="7" customFormat="false" ht="33.75" hidden="false" customHeight="true" outlineLevel="0" collapsed="false">
      <c r="A7" s="67" t="s">
        <v>394</v>
      </c>
      <c r="B7" s="67" t="s">
        <v>391</v>
      </c>
      <c r="C7" s="67" t="s">
        <v>387</v>
      </c>
      <c r="D7" s="68" t="s">
        <v>395</v>
      </c>
      <c r="E7" s="68" t="s">
        <v>396</v>
      </c>
    </row>
    <row r="8" customFormat="false" ht="33.75" hidden="false" customHeight="true" outlineLevel="0" collapsed="false">
      <c r="A8" s="67" t="s">
        <v>397</v>
      </c>
      <c r="B8" s="67" t="s">
        <v>391</v>
      </c>
      <c r="C8" s="67" t="s">
        <v>387</v>
      </c>
      <c r="D8" s="68" t="s">
        <v>398</v>
      </c>
      <c r="E8" s="68" t="s">
        <v>399</v>
      </c>
    </row>
    <row r="9" customFormat="false" ht="33.75" hidden="false" customHeight="true" outlineLevel="0" collapsed="false">
      <c r="A9" s="67" t="s">
        <v>400</v>
      </c>
      <c r="B9" s="67" t="s">
        <v>391</v>
      </c>
      <c r="C9" s="67" t="s">
        <v>387</v>
      </c>
      <c r="D9" s="68" t="s">
        <v>401</v>
      </c>
      <c r="E9" s="68" t="s">
        <v>402</v>
      </c>
    </row>
    <row r="10" customFormat="false" ht="33.75" hidden="false" customHeight="true" outlineLevel="0" collapsed="false">
      <c r="A10" s="67" t="s">
        <v>403</v>
      </c>
      <c r="B10" s="67" t="s">
        <v>391</v>
      </c>
      <c r="C10" s="67" t="s">
        <v>387</v>
      </c>
      <c r="D10" s="68" t="s">
        <v>404</v>
      </c>
      <c r="E10" s="68" t="s">
        <v>405</v>
      </c>
    </row>
    <row r="11" customFormat="false" ht="33.75" hidden="false" customHeight="true" outlineLevel="0" collapsed="false">
      <c r="A11" s="67" t="s">
        <v>406</v>
      </c>
      <c r="B11" s="67" t="s">
        <v>391</v>
      </c>
      <c r="C11" s="67" t="s">
        <v>387</v>
      </c>
      <c r="D11" s="68" t="s">
        <v>407</v>
      </c>
      <c r="E11" s="68" t="s">
        <v>408</v>
      </c>
    </row>
    <row r="12" customFormat="false" ht="33.75" hidden="false" customHeight="true" outlineLevel="0" collapsed="false">
      <c r="A12" s="67" t="s">
        <v>409</v>
      </c>
      <c r="B12" s="67" t="s">
        <v>391</v>
      </c>
      <c r="C12" s="67" t="s">
        <v>387</v>
      </c>
      <c r="D12" s="68" t="s">
        <v>410</v>
      </c>
      <c r="E12" s="68" t="s">
        <v>411</v>
      </c>
    </row>
    <row r="13" customFormat="false" ht="33.75" hidden="false" customHeight="true" outlineLevel="0" collapsed="false">
      <c r="A13" s="69" t="s">
        <v>412</v>
      </c>
      <c r="B13" s="69" t="s">
        <v>391</v>
      </c>
      <c r="C13" s="69" t="s">
        <v>387</v>
      </c>
      <c r="D13" s="68" t="s">
        <v>413</v>
      </c>
      <c r="E13" s="68" t="s">
        <v>414</v>
      </c>
    </row>
    <row r="14" customFormat="false" ht="30" hidden="false" customHeight="true" outlineLevel="0" collapsed="false">
      <c r="A14" s="67" t="s">
        <v>415</v>
      </c>
      <c r="B14" s="67" t="s">
        <v>391</v>
      </c>
      <c r="C14" s="67" t="s">
        <v>387</v>
      </c>
      <c r="D14" s="70" t="s">
        <v>416</v>
      </c>
      <c r="E14" s="70" t="s">
        <v>417</v>
      </c>
    </row>
    <row r="16" customFormat="false" ht="15" hidden="false" customHeight="true" outlineLevel="0" collapsed="false">
      <c r="A16" s="18" t="s">
        <v>418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30"/>
    <col collapsed="false" customWidth="true" hidden="false" outlineLevel="0" max="3" min="3" style="1" width="56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40"/>
  </cols>
  <sheetData>
    <row r="1" customFormat="false" ht="15" hidden="false" customHeight="true" outlineLevel="0" collapsed="false">
      <c r="A1" s="12" t="s">
        <v>419</v>
      </c>
    </row>
    <row r="2" customFormat="false" ht="15" hidden="false" customHeight="true" outlineLevel="0" collapsed="false">
      <c r="A2" s="11" t="s">
        <v>420</v>
      </c>
    </row>
    <row r="4" customFormat="false" ht="15" hidden="false" customHeight="true" outlineLevel="0" collapsed="false">
      <c r="A4" s="71" t="s">
        <v>421</v>
      </c>
      <c r="B4" s="71" t="s">
        <v>422</v>
      </c>
      <c r="C4" s="71" t="s">
        <v>423</v>
      </c>
      <c r="D4" s="71" t="s">
        <v>424</v>
      </c>
      <c r="E4" s="71" t="s">
        <v>425</v>
      </c>
      <c r="F4" s="71" t="s">
        <v>426</v>
      </c>
    </row>
    <row r="5" customFormat="false" ht="15" hidden="false" customHeight="true" outlineLevel="0" collapsed="false">
      <c r="A5" s="72" t="s">
        <v>427</v>
      </c>
      <c r="B5" s="73"/>
      <c r="C5" s="73"/>
      <c r="D5" s="73"/>
      <c r="E5" s="73"/>
      <c r="F5" s="73"/>
    </row>
    <row r="6" customFormat="false" ht="30" hidden="false" customHeight="true" outlineLevel="0" collapsed="false">
      <c r="A6" s="68" t="s">
        <v>428</v>
      </c>
      <c r="B6" s="68" t="s">
        <v>429</v>
      </c>
      <c r="C6" s="68" t="s">
        <v>430</v>
      </c>
      <c r="D6" s="74" t="str">
        <f aca="false">HYPERLINK("https://www.sec.gov/Archives/edgar/data/1404655/000119312526046563/hubs-ex99_1.htm","Open ↗")</f>
        <v>Open ↗</v>
      </c>
      <c r="E6" s="68" t="s">
        <v>386</v>
      </c>
      <c r="F6" s="75" t="s">
        <v>431</v>
      </c>
    </row>
    <row r="7" customFormat="false" ht="30" hidden="false" customHeight="true" outlineLevel="0" collapsed="false">
      <c r="A7" s="68" t="s">
        <v>432</v>
      </c>
      <c r="B7" s="68" t="s">
        <v>429</v>
      </c>
      <c r="C7" s="68" t="s">
        <v>433</v>
      </c>
      <c r="D7" s="74" t="str">
        <f aca="false">HYPERLINK("https://www.sec.gov/Archives/edgar/data/1404655/000095017025018839/hubs-ex99_1.htm","Open ↗")</f>
        <v>Open ↗</v>
      </c>
      <c r="E7" s="68" t="s">
        <v>386</v>
      </c>
      <c r="F7" s="75" t="s">
        <v>434</v>
      </c>
    </row>
    <row r="8" customFormat="false" ht="30" hidden="false" customHeight="true" outlineLevel="0" collapsed="false">
      <c r="A8" s="68" t="s">
        <v>435</v>
      </c>
      <c r="B8" s="68" t="s">
        <v>436</v>
      </c>
      <c r="C8" s="68" t="s">
        <v>437</v>
      </c>
      <c r="D8" s="74" t="str">
        <f aca="false">HYPERLINK("https://www.sec.gov/Archives/edgar/data/1404655/000119312526046646/R76.htm","Open ↗")</f>
        <v>Open ↗</v>
      </c>
      <c r="E8" s="68" t="s">
        <v>391</v>
      </c>
      <c r="F8" s="75" t="s">
        <v>438</v>
      </c>
    </row>
    <row r="9" customFormat="false" ht="30" hidden="false" customHeight="true" outlineLevel="0" collapsed="false">
      <c r="A9" s="68" t="s">
        <v>439</v>
      </c>
      <c r="B9" s="68" t="s">
        <v>440</v>
      </c>
      <c r="C9" s="68" t="s">
        <v>441</v>
      </c>
      <c r="D9" s="74" t="str">
        <f aca="false">HYPERLINK("https://ir.hubspot.com/news-releases/news-release-details/hubspot-reports-q4-and-full-year-2023-results","Open ↗")</f>
        <v>Open ↗</v>
      </c>
      <c r="E9" s="68" t="s">
        <v>391</v>
      </c>
      <c r="F9" s="75" t="s">
        <v>442</v>
      </c>
    </row>
    <row r="10" customFormat="false" ht="15" hidden="false" customHeight="true" outlineLevel="0" collapsed="false">
      <c r="A10" s="72" t="s">
        <v>443</v>
      </c>
      <c r="B10" s="73"/>
      <c r="C10" s="73"/>
      <c r="D10" s="73"/>
      <c r="E10" s="73"/>
      <c r="F10" s="73"/>
    </row>
    <row r="11" customFormat="false" ht="30" hidden="false" customHeight="true" outlineLevel="0" collapsed="false">
      <c r="A11" s="68" t="s">
        <v>444</v>
      </c>
      <c r="B11" s="68" t="s">
        <v>445</v>
      </c>
      <c r="C11" s="68" t="s">
        <v>446</v>
      </c>
      <c r="D11" s="74" t="str">
        <f aca="false">HYPERLINK("https://www.sec.gov/Archives/edgar/data/1404655/000095017025018839/hubs-ex99_1.htm","Open ↗")</f>
        <v>Open ↗</v>
      </c>
      <c r="E11" s="68" t="s">
        <v>391</v>
      </c>
      <c r="F11" s="75" t="s">
        <v>447</v>
      </c>
    </row>
    <row r="12" customFormat="false" ht="15" hidden="false" customHeight="true" outlineLevel="0" collapsed="false">
      <c r="A12" s="72" t="s">
        <v>448</v>
      </c>
      <c r="B12" s="73"/>
      <c r="C12" s="73"/>
      <c r="D12" s="73"/>
      <c r="E12" s="73"/>
      <c r="F12" s="73"/>
    </row>
    <row r="13" customFormat="false" ht="30" hidden="false" customHeight="true" outlineLevel="0" collapsed="false">
      <c r="A13" s="68" t="s">
        <v>449</v>
      </c>
      <c r="B13" s="68" t="s">
        <v>450</v>
      </c>
      <c r="C13" s="68" t="s">
        <v>451</v>
      </c>
      <c r="D13" s="74" t="str">
        <f aca="false">HYPERLINK("https://home.treasury.gov/resource-center/data-chart-center/interest-rates/","Open ↗")</f>
        <v>Open ↗</v>
      </c>
      <c r="E13" s="68" t="s">
        <v>452</v>
      </c>
      <c r="F13" s="75" t="s">
        <v>453</v>
      </c>
    </row>
    <row r="14" customFormat="false" ht="30" hidden="false" customHeight="true" outlineLevel="0" collapsed="false">
      <c r="A14" s="68" t="s">
        <v>454</v>
      </c>
      <c r="B14" s="68" t="s">
        <v>450</v>
      </c>
      <c r="C14" s="68" t="s">
        <v>455</v>
      </c>
      <c r="D14" s="74" t="str">
        <f aca="false">HYPERLINK("https://www.newyorkfed.org/markets/reference-rates/sofr","Open ↗")</f>
        <v>Open ↗</v>
      </c>
      <c r="E14" s="68" t="s">
        <v>452</v>
      </c>
      <c r="F14" s="75" t="s">
        <v>456</v>
      </c>
    </row>
    <row r="15" customFormat="false" ht="30" hidden="false" customHeight="true" outlineLevel="0" collapsed="false">
      <c r="A15" s="68" t="s">
        <v>457</v>
      </c>
      <c r="B15" s="68" t="s">
        <v>458</v>
      </c>
      <c r="C15" s="68" t="s">
        <v>459</v>
      </c>
      <c r="D15" s="74" t="str">
        <f aca="false">HYPERLINK("https://stockanalysis.com/stocks/hubs/statistics/","Open ↗")</f>
        <v>Open ↗</v>
      </c>
      <c r="E15" s="68" t="s">
        <v>452</v>
      </c>
      <c r="F15" s="75" t="s">
        <v>460</v>
      </c>
    </row>
    <row r="16" customFormat="false" ht="15" hidden="false" customHeight="true" outlineLevel="0" collapsed="false">
      <c r="A16" s="72" t="s">
        <v>461</v>
      </c>
      <c r="B16" s="73"/>
      <c r="C16" s="73"/>
      <c r="D16" s="73"/>
      <c r="E16" s="73"/>
      <c r="F16" s="73"/>
    </row>
    <row r="17" customFormat="false" ht="30" hidden="false" customHeight="true" outlineLevel="0" collapsed="false">
      <c r="A17" s="68" t="s">
        <v>462</v>
      </c>
      <c r="B17" s="68" t="s">
        <v>463</v>
      </c>
      <c r="C17" s="68" t="s">
        <v>464</v>
      </c>
      <c r="D17" s="74" t="str">
        <f aca="false">HYPERLINK("https://www.salesforce.com/news/press-releases/2026/02/25/fy26-q4-earnings/","Open ↗")</f>
        <v>Open ↗</v>
      </c>
      <c r="E17" s="68" t="s">
        <v>391</v>
      </c>
      <c r="F17" s="75" t="s">
        <v>465</v>
      </c>
    </row>
    <row r="18" customFormat="false" ht="30" hidden="false" customHeight="true" outlineLevel="0" collapsed="false">
      <c r="A18" s="68" t="s">
        <v>466</v>
      </c>
      <c r="B18" s="68" t="s">
        <v>463</v>
      </c>
      <c r="C18" s="68" t="s">
        <v>467</v>
      </c>
      <c r="D18" s="74" t="str">
        <f aca="false">HYPERLINK("https://www.sec.gov/Archives/edgar/data/1845338/000117891326000346/exhibit_99-1.htm","Open ↗")</f>
        <v>Open ↗</v>
      </c>
      <c r="E18" s="68" t="s">
        <v>391</v>
      </c>
      <c r="F18" s="75" t="s">
        <v>465</v>
      </c>
    </row>
    <row r="19" customFormat="false" ht="30" hidden="false" customHeight="true" outlineLevel="0" collapsed="false">
      <c r="A19" s="68" t="s">
        <v>468</v>
      </c>
      <c r="B19" s="68" t="s">
        <v>463</v>
      </c>
      <c r="C19" s="68" t="s">
        <v>469</v>
      </c>
      <c r="D19" s="74" t="str">
        <f aca="false">HYPERLINK("https://cloudedjudgement.substack.com/p/clouded-judgement-71026-own-your","Open ↗")</f>
        <v>Open ↗</v>
      </c>
      <c r="E19" s="68" t="s">
        <v>470</v>
      </c>
      <c r="F19" s="75" t="s">
        <v>471</v>
      </c>
    </row>
    <row r="20" customFormat="false" ht="15" hidden="false" customHeight="true" outlineLevel="0" collapsed="false">
      <c r="A20" s="72" t="s">
        <v>472</v>
      </c>
      <c r="B20" s="73"/>
      <c r="C20" s="73"/>
      <c r="D20" s="73"/>
      <c r="E20" s="73"/>
      <c r="F20" s="73"/>
    </row>
    <row r="21" customFormat="false" ht="30" hidden="false" customHeight="true" outlineLevel="0" collapsed="false">
      <c r="A21" s="68" t="s">
        <v>473</v>
      </c>
      <c r="B21" s="68" t="s">
        <v>474</v>
      </c>
      <c r="C21" s="68" t="s">
        <v>475</v>
      </c>
      <c r="D21" s="76" t="s">
        <v>350</v>
      </c>
      <c r="E21" s="68" t="s">
        <v>391</v>
      </c>
      <c r="F21" s="75" t="s">
        <v>476</v>
      </c>
    </row>
    <row r="23" customFormat="false" ht="15" hidden="false" customHeight="true" outlineLevel="0" collapsed="false">
      <c r="A23" s="18" t="s">
        <v>477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2026-07-20T06:44:14Z</dcterms:created>
  <dc:creator>openpyxl</dc:creator>
  <dc:description/>
  <dc:language>en-US</dc:language>
  <cp:lastModifiedBy/>
  <dcterms:modified xsi:type="dcterms:W3CDTF">2026-07-20T09:32:59Z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