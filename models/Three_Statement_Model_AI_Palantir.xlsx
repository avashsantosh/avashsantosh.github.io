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 workbookPassword="824D" lockStructure="1"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Revenue Drivers" sheetId="3" state="visible" r:id="rId5"/>
    <sheet name="Regional Breakdown" sheetId="4" state="visible" r:id="rId6"/>
    <sheet name="Income Statement" sheetId="5" state="visible" r:id="rId7"/>
    <sheet name="Balance Sheet" sheetId="6" state="visible" r:id="rId8"/>
    <sheet name="Cash Flow" sheetId="7" state="visible" r:id="rId9"/>
    <sheet name="Budget vs Actual" sheetId="8" state="visible" r:id="rId10"/>
    <sheet name="Market Inputs" sheetId="9" state="visible" r:id="rId11"/>
    <sheet name="Competitor Benchmarking" sheetId="10" state="visible" r:id="rId12"/>
    <sheet name="Version History" sheetId="11" state="visible" r:id="rId13"/>
    <sheet name="Sourc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<sst xmlns="http://schemas.openxmlformats.org/spreadsheetml/2006/main" count="549" uniqueCount="459">
  <si>
    <t xml:space="preserve">PALANTIR TECHNOLOGIES INC.  (NASDAQ: PLTR)</t>
  </si>
  <si>
    <t xml:space="preserve">Three-Statement Financial Model · AI &amp; Data Analytics Software</t>
  </si>
  <si>
    <t xml:space="preserve">Integrated Income Statement · Balance Sheet · Cash Flow · driver-based forecast · regional scenarios · live market data</t>
  </si>
  <si>
    <t xml:space="preserve">AUTHOR &amp; VERSION</t>
  </si>
  <si>
    <t xml:space="preserve">Prepared by:  Avash Pardhootman</t>
  </si>
  <si>
    <t xml:space="preserve">Date:  July 2026   ·   Model version: 1.7 (see Version History)   ·   Units: USD thousands, except per-share</t>
  </si>
  <si>
    <t xml:space="preserve">Periods:  FY2023–FY2025 actual (per SEC filings) · FY2026–FY2030 forecast</t>
  </si>
  <si>
    <t xml:space="preserve">QUICK LINKS</t>
  </si>
  <si>
    <t xml:space="preserve">CONTENTS</t>
  </si>
  <si>
    <t xml:space="preserve">HOW TO USE THIS MODEL</t>
  </si>
  <si>
    <t xml:space="preserve">1.  Start on the Revenue Drivers and Assumptions tabs; every blue cell is an input; yellow cells are the key levers.</t>
  </si>
  <si>
    <t xml:space="preserve">2.  Flip the scenario selector on Regional Breakdown (1 = Standard · 2 = Best Case · 3 = Low Case); the whole model re-runs, including EPS, cash and the benchmarking tab.</t>
  </si>
  <si>
    <t xml:space="preserve">3.  Check Budget vs Actual for FY2025 performance vs guidance; rows over the 10% threshold flag automatically.</t>
  </si>
  <si>
    <t xml:space="preserve">4.  Keep market data current: run refresh_market_data.py in this folder (or use the dashboard ⟳ button); stamps update on Market Inputs and the refresh is logged in Version History.</t>
  </si>
  <si>
    <t xml:space="preserve">5.  For a browser walkthrough or a one-page memo, open Finance_AI_Dashboard.html and use Export memo (PDF).</t>
  </si>
  <si>
    <t xml:space="preserve">MODEL NOTES</t>
  </si>
  <si>
    <t xml:space="preserve">•  FY2023–FY2025 as reported in SEC filings; historical statements tie to reported totals. FY2026E revenue growth (60.5%) anchors to management guidance of $7.18–7.20bn.</t>
  </si>
  <si>
    <t xml:space="preserve">•  Forecast driven entirely by the Revenue Drivers, Assumptions and Regional Breakdown tabs; no hardcodes on statement tabs after FY2025.</t>
  </si>
  <si>
    <t xml:space="preserve">•  Interest income accrues on beginning-of-year balances (no circular references); balance sheet balances in all periods under every scenario.</t>
  </si>
  <si>
    <t xml:space="preserve">COLOR CONVENTIONS</t>
  </si>
  <si>
    <t xml:space="preserve">Blue = hardcoded input (historical figures as reported; forecast assumptions)</t>
  </si>
  <si>
    <t xml:space="preserve">Black = formula / calculation          Green = direct link to another sheet</t>
  </si>
  <si>
    <t xml:space="preserve">Yellow fill = key assumption levers to flex</t>
  </si>
  <si>
    <t xml:space="preserve">Every data input is cited on the Sources tab, with links and last-updated dates.</t>
  </si>
  <si>
    <t xml:space="preserve">Palantir Technologies Inc.; Forecast Assumptions</t>
  </si>
  <si>
    <t xml:space="preserve">(USD in thousands, except per-share amounts) · FY2023A–FY2025A per SEC filings · FY2026E–FY2030E forecast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</si>
  <si>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</si>
  <si>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</si>
  <si>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</si>
  <si>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</si>
  <si>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</si>
  <si>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</si>
  <si>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</si>
  <si>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</si>
  <si>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Income statement drivers</t>
  </si>
  <si>
    <t xml:space="preserve">    Revenue growth % · OUTPUT (driven by Revenue Drivers tab)</t>
  </si>
  <si>
    <t xml:space="preserve">FY26E ≈ company guidance of $7.18–7.20bn (+61% y/y); growth tapers as base scales</t>
  </si>
  <si>
    <t xml:space="preserve">    Gross margin % · OUTPUT (driven by Revenue Drivers tab)</t>
  </si>
  <si>
    <t xml:space="preserve">Software gross margin with modest AI-compute drag offset by scale</t>
  </si>
  <si>
    <t xml:space="preserve">    Sales &amp; marketing % of revenue</t>
  </si>
  <si>
    <t xml:space="preserve">Operating leverage continues (FY23: 33% → FY25: 24%)</t>
  </si>
  <si>
    <t xml:space="preserve">    Research &amp; development % of revenue</t>
  </si>
  <si>
    <t xml:space="preserve">    General &amp; administrative % of revenue</t>
  </si>
  <si>
    <t xml:space="preserve">    Stock-based compensation % of revenue</t>
  </si>
  <si>
    <t xml:space="preserve">Declines as fixed grant pools amortize over a larger revenue base</t>
  </si>
  <si>
    <t xml:space="preserve">    Depreciation &amp; amortization % of revenue</t>
  </si>
  <si>
    <t xml:space="preserve">    Effective tax rate %</t>
  </si>
  <si>
    <t xml:space="preserve">Steps toward statutory rate as NOL/valuation-allowance benefits are consumed</t>
  </si>
  <si>
    <t xml:space="preserve">    Interest yield on beginning cash &amp; investments %</t>
  </si>
  <si>
    <t xml:space="preserve">Applied to beginning-of-year cash + marketable securities (avoids circularity)</t>
  </si>
  <si>
    <t xml:space="preserve">    Diluted share count growth %</t>
  </si>
  <si>
    <t xml:space="preserve">Balance sheet drivers</t>
  </si>
  <si>
    <t xml:space="preserve">    Accounts receivable · days sales outstanding</t>
  </si>
  <si>
    <t xml:space="preserve">Large government/strategic contracts lengthen collections</t>
  </si>
  <si>
    <t xml:space="preserve">    Prepaid &amp; other current assets % of revenue</t>
  </si>
  <si>
    <t xml:space="preserve">    Other assets % of revenue</t>
  </si>
  <si>
    <t xml:space="preserve">    Accounts payable % of total costs</t>
  </si>
  <si>
    <t xml:space="preserve">    Accrued liabilities % of total costs</t>
  </si>
  <si>
    <t xml:space="preserve">    Deferred revenue (current) % of revenue</t>
  </si>
  <si>
    <t xml:space="preserve">    Deferred revenue (noncurrent) % of revenue</t>
  </si>
  <si>
    <t xml:space="preserve">    Customer deposits (current) % of revenue</t>
  </si>
  <si>
    <t xml:space="preserve">    Capital expenditures % of revenue</t>
  </si>
  <si>
    <t xml:space="preserve">Financing drivers ($000s)</t>
  </si>
  <si>
    <t xml:space="preserve">    Share repurchases</t>
  </si>
  <si>
    <t xml:space="preserve">Discretionary; scales with free cash flow</t>
  </si>
  <si>
    <t xml:space="preserve">    Proceeds from option exercises</t>
  </si>
  <si>
    <t xml:space="preserve">    Taxes paid on net share settlement</t>
  </si>
  <si>
    <t xml:space="preserve">Historical columns compute actual ratios from the statement tabs; forecast columns (blue) are inputs.</t>
  </si>
  <si>
    <t xml:space="preserve">Marketable securities, lease balances and noncontrolling interests held flat in the forecast for simplicity.</t>
  </si>
  <si>
    <t xml:space="preserve">Palantir Technologies Inc.; Revenue Drivers (AI)</t>
  </si>
  <si>
    <t xml:space="preserve">Bottoms-up AI revenue &amp; compute-cost build (USD in thousands unless noted) · drives Revenue and Cost of revenue on the Income Statement</t>
  </si>
  <si>
    <t xml:space="preserve">Government segment</t>
  </si>
  <si>
    <t xml:space="preserve">    Government revenue ($000s)</t>
  </si>
  <si>
    <t xml:space="preserve">        Government revenue growth %</t>
  </si>
  <si>
    <t xml:space="preserve">Commercial segment · enterprise contracts</t>
  </si>
  <si>
    <t xml:space="preserve">    Commercial customers (end of period)</t>
  </si>
  <si>
    <t xml:space="preserve">        Commercial customer growth %</t>
  </si>
  <si>
    <t xml:space="preserve">    Average enterprise contract value ($000s / customer / yr)</t>
  </si>
  <si>
    <t xml:space="preserve">        Enterprise contract value growth %</t>
  </si>
  <si>
    <t xml:space="preserve">    Commercial enterprise revenue ($000s)</t>
  </si>
  <si>
    <t xml:space="preserve">AIP subscription tiers (illustrative self-serve ramp from FY2026E)</t>
  </si>
  <si>
    <t xml:space="preserve">    Starter tier · customers</t>
  </si>
  <si>
    <t xml:space="preserve">    Starter tier · annual price ($000s)</t>
  </si>
  <si>
    <t xml:space="preserve">    Professional tier · customers</t>
  </si>
  <si>
    <t xml:space="preserve">    Professional tier · annual price ($000s)</t>
  </si>
  <si>
    <t xml:space="preserve">    Enterprise AIP tier · customers</t>
  </si>
  <si>
    <t xml:space="preserve">    Enterprise AIP tier · annual price ($000s)</t>
  </si>
  <si>
    <t xml:space="preserve">    Subscription tier revenue ($000s)</t>
  </si>
  <si>
    <t xml:space="preserve">TOTAL REVENUE ($000s)</t>
  </si>
  <si>
    <t xml:space="preserve">    Total revenue growth %</t>
  </si>
  <si>
    <t xml:space="preserve">Check vs Regional Breakdown base (must be 0)</t>
  </si>
  <si>
    <t xml:space="preserve">AI compute economics (drives cost of revenue)</t>
  </si>
  <si>
    <t xml:space="preserve">    AI queries / inference calls processed (billions)</t>
  </si>
  <si>
    <t xml:space="preserve">    Compute cost per query ($)</t>
  </si>
  <si>
    <t xml:space="preserve">    Total compute cost ($000s)</t>
  </si>
  <si>
    <t xml:space="preserve">    Other cost of revenue % of total revenue</t>
  </si>
  <si>
    <t xml:space="preserve">    Other cost of revenue ($000s)</t>
  </si>
  <si>
    <t xml:space="preserve">TOTAL COST OF REVENUE ($000s)</t>
  </si>
  <si>
    <t xml:space="preserve">    Implied gross margin %</t>
  </si>
  <si>
    <t xml:space="preserve">Government / commercial splits and customer counts per company disclosures (10-Ks, Q4 FY2025 investor presentation).</t>
  </si>
  <si>
    <t xml:space="preserve">Palantir does not disclose query volumes or unit compute costs; the compute block is an illustrative unit-economics frame (inputs in blue).</t>
  </si>
  <si>
    <t xml:space="preserve">Subscription tiers model an illustrative AIP self-serve ramp; set tier customer counts to zero to remove.</t>
  </si>
  <si>
    <t xml:space="preserve">Palantir Technologies Inc.; Regional Breakdown &amp; Scenarios</t>
  </si>
  <si>
    <t xml:space="preserve">Revenue, growth and customers by region (USD in thousands unless noted) · regional scenario toggle feeds the Income Statement · base = total revenue</t>
  </si>
  <si>
    <t xml:space="preserve">SCENARIO SELECTOR  (1 = Standard · 2 = Best Case · 3 = Low Case)</t>
  </si>
  <si>
    <t xml:space="preserve">REGIONAL MIX (% of total revenue)</t>
  </si>
  <si>
    <t xml:space="preserve">    North America mix %</t>
  </si>
  <si>
    <t xml:space="preserve">    Europe mix %</t>
  </si>
  <si>
    <t xml:space="preserve">    Asia Pacific mix %</t>
  </si>
  <si>
    <t xml:space="preserve">    Other / rest of world mix % (balancing)</t>
  </si>
  <si>
    <t xml:space="preserve">BASE TOTAL REVENUE BY REGION ($000s)</t>
  </si>
  <si>
    <t xml:space="preserve">    Base total revenue before regional split</t>
  </si>
  <si>
    <t xml:space="preserve">    North America · base</t>
  </si>
  <si>
    <t xml:space="preserve">    Europe · base</t>
  </si>
  <si>
    <t xml:space="preserve">    Asia Pacific · base</t>
  </si>
  <si>
    <t xml:space="preserve">    Other / rest of world · base</t>
  </si>
  <si>
    <t xml:space="preserve">    Total base (sum of regions)</t>
  </si>
  <si>
    <t xml:space="preserve">BASE REGIONAL GROWTH %</t>
  </si>
  <si>
    <t xml:space="preserve">    North America growth %</t>
  </si>
  <si>
    <t xml:space="preserve">    Europe growth %</t>
  </si>
  <si>
    <t xml:space="preserve">    Asia Pacific growth %</t>
  </si>
  <si>
    <t xml:space="preserve">SCENARIO GROWTH DELTAS (added to base regional growth)</t>
  </si>
  <si>
    <t xml:space="preserve">    Best Case · North America</t>
  </si>
  <si>
    <t xml:space="preserve">    Best Case · Europe</t>
  </si>
  <si>
    <t xml:space="preserve">    Best Case · Asia Pacific</t>
  </si>
  <si>
    <t xml:space="preserve">    Low Case · North America</t>
  </si>
  <si>
    <t xml:space="preserve">    Low Case · Europe</t>
  </si>
  <si>
    <t xml:space="preserve">    Low Case · Asia Pacific</t>
  </si>
  <si>
    <t xml:space="preserve">SCENARIO TOTAL REVENUE BY REGION ($000s)</t>
  </si>
  <si>
    <t xml:space="preserve">    North America · scenario</t>
  </si>
  <si>
    <t xml:space="preserve">    Europe · scenario</t>
  </si>
  <si>
    <t xml:space="preserve">    Asia Pacific · scenario</t>
  </si>
  <si>
    <t xml:space="preserve">    Other / rest of world · scenario (no delta)</t>
  </si>
  <si>
    <t xml:space="preserve">TOTAL · SCENARIO ($000s)</t>
  </si>
  <si>
    <t xml:space="preserve">    Scenario total growth %</t>
  </si>
  <si>
    <t xml:space="preserve">    Scenario scaling factor (× base)</t>
  </si>
  <si>
    <t xml:space="preserve">    Scenario revenue delta vs base ($000s)</t>
  </si>
  <si>
    <t xml:space="preserve">SCENARIO IMPACT DASHBOARD (flips with the selector)</t>
  </si>
  <si>
    <t xml:space="preserve">    Net income · scenario ($000s)</t>
  </si>
  <si>
    <t xml:space="preserve">    Diluted EPS · scenario ($)</t>
  </si>
  <si>
    <t xml:space="preserve">    Ending cash · scenario ($000s)</t>
  </si>
  <si>
    <t xml:space="preserve">    Revenue CAGR FY2025A → FY2030E (scenario)</t>
  </si>
  <si>
    <t xml:space="preserve">CUSTOMERS BY REGION</t>
  </si>
  <si>
    <t xml:space="preserve">    Government &amp; other customers (count)</t>
  </si>
  <si>
    <t xml:space="preserve">    Total customers (count)</t>
  </si>
  <si>
    <t xml:space="preserve">    North America customer mix %</t>
  </si>
  <si>
    <t xml:space="preserve">    Europe customer mix %</t>
  </si>
  <si>
    <t xml:space="preserve">    Asia Pacific customer mix %</t>
  </si>
  <si>
    <t xml:space="preserve">    Other customer mix % (balancing)</t>
  </si>
  <si>
    <t xml:space="preserve">    North America · customers</t>
  </si>
  <si>
    <t xml:space="preserve">    Europe · customers</t>
  </si>
  <si>
    <t xml:space="preserve">    Asia Pacific · customers</t>
  </si>
  <si>
    <t xml:space="preserve">    Other · customers</t>
  </si>
  <si>
    <t xml:space="preserve">Check: regional mix sums to 100% (must be 0)</t>
  </si>
  <si>
    <t xml:space="preserve">Check: scenario total ties to Income Statement (must be 0)</t>
  </si>
  <si>
    <t xml:space="preserve">•  North America mix reflects disclosed U.S. revenue (62% / 66% / 74% of FY23–FY25); the 10-K splits only US / UK / rest of world, so the Europe and Asia Pacific allocations of non-US revenue are estimates (UK actuals: 11% / 11% / 10%).</t>
  </si>
  <si>
    <t xml:space="preserve">•  Scenario deltas add to each region's base growth and compound; "Other" carries no delta. The scenario total feeds Revenue on the Income Statement, so every downstream statement, the variance tab and the valuation cross-check flex with the toggle.</t>
  </si>
  <si>
    <t xml:space="preserve">•  Customer regional mix is an estimate; Palantir disclosed 954 total customers at FY25 but not their geography.</t>
  </si>
  <si>
    <t xml:space="preserve">Palantir Technologies Inc.; Income Statement</t>
  </si>
  <si>
    <t xml:space="preserve">Revenue</t>
  </si>
  <si>
    <t xml:space="preserve">Source: PLTR Q4 FY2025 and Q4 FY2024 earnings releases (SEC 8-K Ex. 99.1)</t>
  </si>
  <si>
    <t xml:space="preserve">    Cost of revenue</t>
  </si>
  <si>
    <t xml:space="preserve">Gross profit</t>
  </si>
  <si>
    <t xml:space="preserve">Operating expenses</t>
  </si>
  <si>
    <t xml:space="preserve">    Sales and marketing</t>
  </si>
  <si>
    <t xml:space="preserve">    Research and development</t>
  </si>
  <si>
    <t xml:space="preserve">    General and administrative</t>
  </si>
  <si>
    <t xml:space="preserve">Total operating expenses</t>
  </si>
  <si>
    <t xml:space="preserve">Income from operations</t>
  </si>
  <si>
    <t xml:space="preserve">    Interest income</t>
  </si>
  <si>
    <t xml:space="preserve">    Other income (expense), net</t>
  </si>
  <si>
    <t xml:space="preserve">Income before provision for income taxes</t>
  </si>
  <si>
    <t xml:space="preserve">    Provision for income taxes</t>
  </si>
  <si>
    <t xml:space="preserve">Net income</t>
  </si>
  <si>
    <t xml:space="preserve">    Less: net income attributable to noncontrolling interests</t>
  </si>
  <si>
    <t xml:space="preserve">Net income attributable to common stockholders</t>
  </si>
  <si>
    <t xml:space="preserve">Weighted-average diluted shares outstanding</t>
  </si>
  <si>
    <t xml:space="preserve">Diluted EPS ($)</t>
  </si>
  <si>
    <t xml:space="preserve">Memo: stock-based compensation expense</t>
  </si>
  <si>
    <t xml:space="preserve">Memo: depreciation and amortization</t>
  </si>
  <si>
    <t xml:space="preserve">Palantir Technologies Inc.; Balance Sheet</t>
  </si>
  <si>
    <t xml:space="preserve">Assets</t>
  </si>
  <si>
    <t xml:space="preserve">    Cash and cash equivalents</t>
  </si>
  <si>
    <t xml:space="preserve">    Marketable securities</t>
  </si>
  <si>
    <t xml:space="preserve">Held flat in forecast; excess cash accumulates in cash &amp; equivalents</t>
  </si>
  <si>
    <t xml:space="preserve">    Accounts receivable, net</t>
  </si>
  <si>
    <t xml:space="preserve">    Prepaid expenses and other current assets</t>
  </si>
  <si>
    <t xml:space="preserve">Total current assets</t>
  </si>
  <si>
    <t xml:space="preserve">    Property and equipment, net</t>
  </si>
  <si>
    <t xml:space="preserve">    Operating lease right-of-use assets</t>
  </si>
  <si>
    <t xml:space="preserve">    Other assets</t>
  </si>
  <si>
    <t xml:space="preserve">Total assets</t>
  </si>
  <si>
    <t xml:space="preserve">Liabilities</t>
  </si>
  <si>
    <t xml:space="preserve">    Accounts payable</t>
  </si>
  <si>
    <t xml:space="preserve">    Accrued liabilities</t>
  </si>
  <si>
    <t xml:space="preserve">    Deferred revenue</t>
  </si>
  <si>
    <t xml:space="preserve">    Customer deposits</t>
  </si>
  <si>
    <t xml:space="preserve">    Operating lease liabilities</t>
  </si>
  <si>
    <t xml:space="preserve">Total current liabilities</t>
  </si>
  <si>
    <t xml:space="preserve">    Deferred revenue, noncurrent</t>
  </si>
  <si>
    <t xml:space="preserve">    Customer deposits, noncurrent</t>
  </si>
  <si>
    <t xml:space="preserve">    Operating lease liabilities, noncurrent</t>
  </si>
  <si>
    <t xml:space="preserve">    Other noncurrent liabilities</t>
  </si>
  <si>
    <t xml:space="preserve">Total liabilities</t>
  </si>
  <si>
    <t xml:space="preserve">Stockholders' equity</t>
  </si>
  <si>
    <t xml:space="preserve">    Common stock</t>
  </si>
  <si>
    <t xml:space="preserve">    Additional paid-in capital</t>
  </si>
  <si>
    <t xml:space="preserve">    Accumulated other comprehensive income (loss)</t>
  </si>
  <si>
    <t xml:space="preserve">    Accumulated deficit</t>
  </si>
  <si>
    <t xml:space="preserve">Total Palantir stockholders' equity</t>
  </si>
  <si>
    <t xml:space="preserve">    Noncontrolling interests</t>
  </si>
  <si>
    <t xml:space="preserve">Total equity</t>
  </si>
  <si>
    <t xml:space="preserve">Total liabilities and equity</t>
  </si>
  <si>
    <t xml:space="preserve">Balance check (assets − liabilities &amp; equity)</t>
  </si>
  <si>
    <t xml:space="preserve">Must be zero in every period</t>
  </si>
  <si>
    <t xml:space="preserve">Palantir Technologies Inc.; Statement of Cash Flows</t>
  </si>
  <si>
    <t xml:space="preserve">Operating activities</t>
  </si>
  <si>
    <t xml:space="preserve">    Net income</t>
  </si>
  <si>
    <t xml:space="preserve">    Depreciation and amortization</t>
  </si>
  <si>
    <t xml:space="preserve">    Stock-based compensation</t>
  </si>
  <si>
    <t xml:space="preserve">    Other non-cash adjustments, net</t>
  </si>
  <si>
    <t xml:space="preserve">Historical: unrealized securities losses, noncash consideration and other items, per filings</t>
  </si>
  <si>
    <t xml:space="preserve">    (Increase) in accounts receivable</t>
  </si>
  <si>
    <t xml:space="preserve">    (Increase) decrease in prepaid and other assets</t>
  </si>
  <si>
    <t xml:space="preserve">    Increase (decrease) in AP and accrued liabilities</t>
  </si>
  <si>
    <t xml:space="preserve">    Increase in deferred revenue and customer deposits</t>
  </si>
  <si>
    <t xml:space="preserve">    Change in other operating liabilities</t>
  </si>
  <si>
    <t xml:space="preserve">Net cash provided by operating activities</t>
  </si>
  <si>
    <t xml:space="preserve">Investing activities</t>
  </si>
  <si>
    <t xml:space="preserve">    Purchases of property and equipment</t>
  </si>
  <si>
    <t xml:space="preserve">    Net (purchases) sales of marketable securities</t>
  </si>
  <si>
    <t xml:space="preserve">Forecast: marketable securities held flat; excess cash retained in cash &amp; equivalents</t>
  </si>
  <si>
    <t xml:space="preserve">    Other investing activities</t>
  </si>
  <si>
    <t xml:space="preserve">Net cash used in investing activities</t>
  </si>
  <si>
    <t xml:space="preserve">Financing activities</t>
  </si>
  <si>
    <t xml:space="preserve">    Proceeds from exercise of stock options</t>
  </si>
  <si>
    <t xml:space="preserve">    Repurchases of common stock</t>
  </si>
  <si>
    <t xml:space="preserve">    Taxes paid on net share settlement of equity awards</t>
  </si>
  <si>
    <t xml:space="preserve">    Other financing activities</t>
  </si>
  <si>
    <t xml:space="preserve">Net cash provided by (used in) financing activities</t>
  </si>
  <si>
    <t xml:space="preserve">    Effect of foreign exchange on cash</t>
  </si>
  <si>
    <t xml:space="preserve">Net increase (decrease) in cash</t>
  </si>
  <si>
    <t xml:space="preserve">    Cash, equivalents and restricted cash, beginning</t>
  </si>
  <si>
    <t xml:space="preserve">Cash, equivalents and restricted cash, ending</t>
  </si>
  <si>
    <t xml:space="preserve">    Less: restricted cash</t>
  </si>
  <si>
    <t xml:space="preserve">Cash and cash equivalents per balance sheet</t>
  </si>
  <si>
    <t xml:space="preserve">Links to cash on the balance sheet</t>
  </si>
  <si>
    <t xml:space="preserve">Palantir Technologies Inc.; Budget vs Actual Variance</t>
  </si>
  <si>
    <t xml:space="preserve">FY2025 actual vs FY2025 budget (USD in thousands, except per-share) · Budget seeded from company guidance where published; all budget cells editable</t>
  </si>
  <si>
    <t xml:space="preserve">Variance flag threshold (|variance %| above this is flagged)</t>
  </si>
  <si>
    <t xml:space="preserve">Metric</t>
  </si>
  <si>
    <t xml:space="preserve">FY2025 Budget</t>
  </si>
  <si>
    <t xml:space="preserve">Budget source</t>
  </si>
  <si>
    <t xml:space="preserve">Override budget</t>
  </si>
  <si>
    <t xml:space="preserve">Effective budget</t>
  </si>
  <si>
    <t xml:space="preserve">FY2025 Actual</t>
  </si>
  <si>
    <t xml:space="preserve">Variance $</t>
  </si>
  <si>
    <t xml:space="preserve">Variance %</t>
  </si>
  <si>
    <t xml:space="preserve">Flag</t>
  </si>
  <si>
    <t xml:space="preserve">Company FY25 guidance (Feb 3, 2025): $3,741–3,757M</t>
  </si>
  <si>
    <t xml:space="preserve">Placeholder · replace with your budget</t>
  </si>
  <si>
    <t xml:space="preserve">Income from operations (GAAP)</t>
  </si>
  <si>
    <t xml:space="preserve">Placeholder (guidance was directional only)</t>
  </si>
  <si>
    <t xml:space="preserve">Net income to common (GAAP)</t>
  </si>
  <si>
    <t xml:space="preserve">Adjusted income from operations</t>
  </si>
  <si>
    <t xml:space="preserve">Company FY25 guidance: $1,551–1,567M</t>
  </si>
  <si>
    <t xml:space="preserve">Adjusted free cash flow</t>
  </si>
  <si>
    <t xml:space="preserve">Company FY25 guidance: $1.5–1.7B</t>
  </si>
  <si>
    <t xml:space="preserve">Diluted EPS (GAAP, $)</t>
  </si>
  <si>
    <t xml:space="preserve">Notes:</t>
  </si>
  <si>
    <t xml:space="preserve">•  Budget column is seeded with the midpoint of company guidance issued at the start of FY2025 where published (see Budget source).</t>
  </si>
  <si>
    <t xml:space="preserve">•  Rows marked "Placeholder" carry illustrative budgets; overwrite them, or type your own number in the yellow Override column (it takes precedence).</t>
  </si>
  <si>
    <t xml:space="preserve">•  GAAP actuals pull live from the statement tabs (green); non-GAAP actuals are per the company's Q4 FY2025 earnings release.</t>
  </si>
  <si>
    <t xml:space="preserve">•  Rows turn red automatically when |Variance %| exceeds the threshold in B4.</t>
  </si>
  <si>
    <t xml:space="preserve">Palantir Technologies Inc.; Market Inputs</t>
  </si>
  <si>
    <t xml:space="preserve">Snapshot as of market close July 17, 2026 · All values are inputs (blue); see REFRESH section to wire live updates</t>
  </si>
  <si>
    <t xml:space="preserve">Data as of:</t>
  </si>
  <si>
    <t xml:space="preserve">July 17, 2026</t>
  </si>
  <si>
    <t xml:space="preserve">Last refreshed:</t>
  </si>
  <si>
    <t xml:space="preserve">2026-07-20 (initial snapshot)</t>
  </si>
  <si>
    <t xml:space="preserve">INTEREST RATES</t>
  </si>
  <si>
    <t xml:space="preserve">Fed funds target (upper bound)</t>
  </si>
  <si>
    <t xml:space="preserve">Range 3.50%–3.75%; unchanged at June 17, 2026 FOMC</t>
  </si>
  <si>
    <t xml:space="preserve">SOFR</t>
  </si>
  <si>
    <t xml:space="preserve">NY Fed, latest print</t>
  </si>
  <si>
    <t xml:space="preserve">3-month T-bill (CMT)</t>
  </si>
  <si>
    <t xml:space="preserve">Fed H.15, Jul 16, 2026</t>
  </si>
  <si>
    <t xml:space="preserve">2-year Treasury</t>
  </si>
  <si>
    <t xml:space="preserve">Close Jul 17, 2026</t>
  </si>
  <si>
    <t xml:space="preserve">10-year Treasury</t>
  </si>
  <si>
    <t xml:space="preserve">30-year Treasury</t>
  </si>
  <si>
    <t xml:space="preserve">EQUITY MARKET DATA: PEER SET</t>
  </si>
  <si>
    <t xml:space="preserve">PLTR</t>
  </si>
  <si>
    <t xml:space="preserve">HUBS</t>
  </si>
  <si>
    <t xml:space="preserve">SOFI</t>
  </si>
  <si>
    <t xml:space="preserve">Share price ($)</t>
  </si>
  <si>
    <t xml:space="preserve">Market cap ($mm)</t>
  </si>
  <si>
    <t xml:space="preserve">Enterprise value ($mm)</t>
  </si>
  <si>
    <t xml:space="preserve">Trailing P/E (x)</t>
  </si>
  <si>
    <t xml:space="preserve">Forward P/E (x)</t>
  </si>
  <si>
    <t xml:space="preserve">EV / Revenue, TTM (x)</t>
  </si>
  <si>
    <t xml:space="preserve">TTM revenue ($mm)</t>
  </si>
  <si>
    <t xml:space="preserve">IMPLIED VALUATION CROSS-CHECK (uses this model's forecast)</t>
  </si>
  <si>
    <t xml:space="preserve">Selected EV / Revenue multiple (x)</t>
  </si>
  <si>
    <t xml:space="preserve">Defaults to this company's current multiple; flex it or use a peer's</t>
  </si>
  <si>
    <t xml:space="preserve">Model FY2026E revenue ($000s)</t>
  </si>
  <si>
    <t xml:space="preserve">Implied enterprise value ($mm)</t>
  </si>
  <si>
    <t xml:space="preserve">Current enterprise value ($mm)</t>
  </si>
  <si>
    <t xml:space="preserve">Implied premium / (discount) to current EV</t>
  </si>
  <si>
    <t xml:space="preserve">Selected forward P/E multiple (x)</t>
  </si>
  <si>
    <t xml:space="preserve">Model FY2026E net income ($000s)</t>
  </si>
  <si>
    <t xml:space="preserve">Implied market capitalization ($mm)</t>
  </si>
  <si>
    <t xml:space="preserve">Current market capitalization ($mm)</t>
  </si>
  <si>
    <t xml:space="preserve">Implied premium / (discount) to current market cap</t>
  </si>
  <si>
    <t xml:space="preserve">REFRESH: MAKE THIS TAB LIVE (one-time setup, ~2 minutes in Excel)</t>
  </si>
  <si>
    <t xml:space="preserve">1.  Excel ▸ Data ▸ Get Data (Power Query) ▸ From Other Sources ▸ From Web.</t>
  </si>
  <si>
    <t xml:space="preserve">2.  Treasury yields (CSV, no key needed):  https://home.treasury.gov/resource-center/data-chart-center/interest-rates/daily-treasury-rates.csv/2026/all?type=daily_treasury_yield_curve&amp;field_tdr_date_value=2026&amp;page&amp;_format=csv</t>
  </si>
  <si>
    <t xml:space="preserve">3.  Load the query to a new sheet; point the blue rate cells above at the latest row (e.g. =INDEX(...)).</t>
  </si>
  <si>
    <t xml:space="preserve">4.  Share prices (JSON):  https://query1.finance.yahoo.com/v8/finance/chart/PLTR  ; Power Query ▸ From Web, drill to chart.result.meta.regularMarketPrice.</t>
  </si>
  <si>
    <t xml:space="preserve">5.  After setup, Data ▸ Refresh All re-pulls everything with one click.</t>
  </si>
  <si>
    <t xml:space="preserve">6.  Until then this tab is a dated snapshot (see B4); or ask Claude to refresh the numbers any time.</t>
  </si>
  <si>
    <t xml:space="preserve">Sources for this snapshot: Fed H.15 (Jul 17, 2026), NY Fed SOFR, stockanalysis.com / S&amp;P Global (Jul 17–19, 2026).</t>
  </si>
  <si>
    <t xml:space="preserve">Palantir Technologies Inc.; Competitor Benchmarking</t>
  </si>
  <si>
    <t xml:space="preserve">Company column pulls live from this model (FY2025 actuals; FY2026E is scenario-aware) · comps per latest reported fiscal year, valuations as of July 17–20, 2026 · industry benchmarks: Clouded Judgement SaaS medians (7/10/26) and US bank norms</t>
  </si>
  <si>
    <t xml:space="preserve">Palantir (model)</t>
  </si>
  <si>
    <t xml:space="preserve">Snowflake (SNOW, FY ended 1/26)</t>
  </si>
  <si>
    <t xml:space="preserve">Datadog (DDOG, FY2025)</t>
  </si>
  <si>
    <t xml:space="preserve">Peer median</t>
  </si>
  <si>
    <t xml:space="preserve">Industry benchmark</t>
  </si>
  <si>
    <t xml:space="preserve">What it means</t>
  </si>
  <si>
    <t xml:space="preserve">Latest FY revenue ($mm)</t>
  </si>
  <si>
    <t xml:space="preserve">—</t>
  </si>
  <si>
    <t xml:space="preserve">Palantir is now in the same revenue class as Snowflake, with a materially better P&amp;L.</t>
  </si>
  <si>
    <t xml:space="preserve">Revenue growth · FY2025 %</t>
  </si>
  <si>
    <t xml:space="preserve">56% growth is ~2x the fastest data-platform comps and ~4x the SaaS median; the core justification for the outlier multiple.</t>
  </si>
  <si>
    <t xml:space="preserve">Revenue growth · FY2026E (model, scenario-aware) %</t>
  </si>
  <si>
    <t xml:space="preserve">n/a</t>
  </si>
  <si>
    <t xml:space="preserve">Model FY26E growth (scenario-aware) tracks management guidance of +61%; comps consensus sits in the mid-20s.</t>
  </si>
  <si>
    <t xml:space="preserve">GAAP gross margin · FY2025 %</t>
  </si>
  <si>
    <t xml:space="preserve">Above the 76% SaaS median and both comps even while absorbing AI compute; see the compute block on Revenue Drivers.</t>
  </si>
  <si>
    <t xml:space="preserve">GAAP operating margin · FY2025 %</t>
  </si>
  <si>
    <t xml:space="preserve">GAAP-profitable at a 32% margin while SNOW (-31%) and DDOG (-1%) are at or below GAAP breakeven; rare at this growth rate.</t>
  </si>
  <si>
    <t xml:space="preserve">Free cash flow margin · FY2025 %</t>
  </si>
  <si>
    <t xml:space="preserve">47% GAAP FCF margin more than doubles the comps and the 21% median.</t>
  </si>
  <si>
    <t xml:space="preserve">Rule of 40 (growth + FCF margin)</t>
  </si>
  <si>
    <t xml:space="preserve">Rule of 40 at ~103% vs a ~34% median; almost no public software company clears 100%.</t>
  </si>
  <si>
    <t xml:space="preserve">EV / Revenue (TTM) (x)</t>
  </si>
  <si>
    <t xml:space="preserve">59x TTM revenue is ~3x even the high-growth bucket median (20.3x); the valuation cross-check on Market Inputs shows the beats needed to grow into it.</t>
  </si>
  <si>
    <t xml:space="preserve">Forward P/E (x, non-GAAP consensus basis)</t>
  </si>
  <si>
    <t xml:space="preserve">~21x S&amp;P 500</t>
  </si>
  <si>
    <t xml:space="preserve">Cheaper per dollar of forward earnings than SNOW/DDOG, but ~4x the S&amp;P; priced for sustained hypergrowth.</t>
  </si>
  <si>
    <t xml:space="preserve">INDUSTRY BENCHMARK NOTES</t>
  </si>
  <si>
    <t xml:space="preserve">•  SaaS medians per Clouded Judgement (Altimeter, 7/10/26): NTM growth 13% · GAAP gross margin 76% · operating margin 2% · FCF margin 21% · NRR 110% · EV/NTM revenue: overall 3.5x, high-growth (&gt;22%) 20.3x, mid-growth (15–22%) 5.4x, low-growth 2.8x.</t>
  </si>
  <si>
    <t xml:space="preserve">•  Rule of 40 = revenue growth % + FCF margin % ≥ 40% is the standard bar for a healthy software business.</t>
  </si>
  <si>
    <t xml:space="preserve">TAKEAWAYS: WHAT THIS COMPARISON MEANS</t>
  </si>
  <si>
    <t xml:space="preserve">•  Palantir screens as the highest-quality operator in the peer set: fastest growth, best GAAP margins, and a Rule of 40 (~103%) roughly 3x the industry median.</t>
  </si>
  <si>
    <t xml:space="preserve">•  The debate is entirely valuation: at ~59x TTM revenue vs a 20.3x high-growth bucket median, the stock discounts years of continued 40%+ growth; stress this with the Low Case regional scenario.</t>
  </si>
  <si>
    <t xml:space="preserve">•  Versus SNOW and DDOG, Palantir converts growth to profit far more efficiently; versus the market, its multiple leaves no room for a growth stumble.</t>
  </si>
  <si>
    <t xml:space="preserve">Sources: company Q4/FY earnings releases and 10-Ks (SEC EDGAR); stockanalysis.com / S&amp;P Global valuations Jul 17–20, 2026; cloudedjudgement.substack.com 7/10/26; multiples.vc Jul 2026. Comp forward P/Es are consensus (non-GAAP) based.</t>
  </si>
  <si>
    <t xml:space="preserve">Palantir Technologies Inc.; Version History</t>
  </si>
  <si>
    <t xml:space="preserve">Log of every assumptions refresh: what changed, when, and why. Add a new row each time inputs are updated.</t>
  </si>
  <si>
    <t xml:space="preserve">Version</t>
  </si>
  <si>
    <t xml:space="preserve">Date</t>
  </si>
  <si>
    <t xml:space="preserve">Changed by</t>
  </si>
  <si>
    <t xml:space="preserve">What changed</t>
  </si>
  <si>
    <t xml:space="preserve">Why</t>
  </si>
  <si>
    <t xml:space="preserve">1.0</t>
  </si>
  <si>
    <t xml:space="preserve">2026-07-19</t>
  </si>
  <si>
    <t xml:space="preserve">A. Pardhootman</t>
  </si>
  <si>
    <t xml:space="preserve">Initial build: FY2023–FY2025 actuals per SEC filings; FY2026–FY2030 top-down forecast; Assumptions, Income Statement, Balance Sheet, Cash Flow and Cover with sheet links.</t>
  </si>
  <si>
    <t xml:space="preserve">Portfolio work sample: integrated three-statement model with balance and cash tie-out checks.</t>
  </si>
  <si>
    <t xml:space="preserve">1.1</t>
  </si>
  <si>
    <t xml:space="preserve">2026-07-20</t>
  </si>
  <si>
    <t xml:space="preserve">Added Budget vs Actual tab (FY2025 vs company guidance, 10% variance flag with conditional formatting) and Market Inputs tab (rates and valuation multiples snapshot as of 7/17/26, implied-valuation cross-check, Power Query refresh guide).</t>
  </si>
  <si>
    <t xml:space="preserve">Variance discipline against real guidance; live market context for the forecast.</t>
  </si>
  <si>
    <t xml:space="preserve">1.2</t>
  </si>
  <si>
    <t xml:space="preserve">Rebuilt revenue as a bottoms-up Revenue Drivers tab (government growth, commercial customers × contract value, AIP tiers, compute cost per query); superseded top-down assumption rows relabeled as OUTPUT.</t>
  </si>
  <si>
    <t xml:space="preserve">Unit-economics realism: forecast driven by operating metrics rather than a single growth rate.</t>
  </si>
  <si>
    <t xml:space="preserve">1.3</t>
  </si>
  <si>
    <t xml:space="preserve">Added Regional Breakdown tab: NA / Europe / APAC mix from 10-K geographic disclosures, customer splits, and a scenario selector with per-region growth deltas feeding the Income Statement.</t>
  </si>
  <si>
    <t xml:space="preserve">Geographic visibility and one-cell scenario analysis across the full model.</t>
  </si>
  <si>
    <t xml:space="preserve">1.4</t>
  </si>
  <si>
    <t xml:space="preserve">Added Competitor Benchmarking tab vs Snowflake and Datadog + SaaS industry medians; company column pulls live from the model with interpretation and takeaways.</t>
  </si>
  <si>
    <t xml:space="preserve">Relative context: absolute metrics only matter versus peers and industry medians.</t>
  </si>
  <si>
    <t xml:space="preserve">1.5</t>
  </si>
  <si>
    <t xml:space="preserve">Renamed scenarios to Standard Case / Best Case / Low Case across the selector, delta rows and commentary; companion interactive HTML dashboard extracted from this workbook under all three scenarios.</t>
  </si>
  <si>
    <t xml:space="preserve">Clearer scenario language for non-technical reviewers; browser-based review experience.</t>
  </si>
  <si>
    <t xml:space="preserve">1.6</t>
  </si>
  <si>
    <t xml:space="preserve">Added this Version History tab.</t>
  </si>
  <si>
    <t xml:space="preserve">Change auditability: every future assumptions refresh gets logged here.</t>
  </si>
  <si>
    <t xml:space="preserve">1.7</t>
  </si>
  <si>
    <t xml:space="preserve">Added market-data refresh infrastructure: "Last refreshed" stamp on Market Inputs, market_data.js live feed consumed by the dashboard, a Refresh button in the dashboard, and companion script refresh_market_data.py that updates the feed, this workbook's Market Inputs and this log.</t>
  </si>
  <si>
    <t xml:space="preserve">Keep valuation context current and visibly timestamped for reviewers.</t>
  </si>
  <si>
    <t xml:space="preserve">1.8</t>
  </si>
  <si>
    <t xml:space="preserve">Applied workbook protection: all formulas, labels and structure locked with a password on every tab; blue/yellow input cells (assumptions, scenario selector, budget overrides) remain editable so the model stays interactive.</t>
  </si>
  <si>
    <t xml:space="preserve">Distribution protection: models are downloadable from the public portfolio site; viewers can flex inputs but cannot alter or break the model.</t>
  </si>
  <si>
    <t xml:space="preserve">1.9</t>
  </si>
  <si>
    <t xml:space="preserve">Copy edit across all tabs: punctuation and separator cleanup for a natural reading style; no numbers or formulas changed.</t>
  </si>
  <si>
    <t xml:space="preserve">Readability pass ahead of public distribution.</t>
  </si>
  <si>
    <t xml:space="preserve">How to log a refresh: add a row (yellow cells above are ready) with the new version number, date, your name, the cells/tabs you changed (e.g. "Assumptions F7: FY27 revenue growth 45% → 40% after Q1 FY27 print"), and the reason. Keep one row per refresh so the audit trail stays readable.</t>
  </si>
  <si>
    <t xml:space="preserve">Palantir Technologies Inc.; Data Sources &amp; Citations</t>
  </si>
  <si>
    <t xml:space="preserve">Every input in this model, where it comes from, and how current it is. Click "Open ↗" for the underlying source. Refresh stamps also appear on Market Inputs; refreshes are logged in Version History.</t>
  </si>
  <si>
    <t xml:space="preserve">Data input</t>
  </si>
  <si>
    <t xml:space="preserve">Used on tab(s)</t>
  </si>
  <si>
    <t xml:space="preserve">Source / citation</t>
  </si>
  <si>
    <t xml:space="preserve">Link</t>
  </si>
  <si>
    <t xml:space="preserve">Last updated</t>
  </si>
  <si>
    <t xml:space="preserve">How it refreshes</t>
  </si>
  <si>
    <t xml:space="preserve">COMPANY FINANCIALS &amp; DISCLOSURES</t>
  </si>
  <si>
    <t xml:space="preserve">FY2025 &amp; FY2024 income statement, balance sheet, cash flow</t>
  </si>
  <si>
    <t xml:space="preserve">Income Statement · Balance Sheet · Cash Flow</t>
  </si>
  <si>
    <t xml:space="preserve">Palantir Q4 FY2025 earnings release, 8-K Ex. 99.1, filed Feb 2, 2026</t>
  </si>
  <si>
    <t xml:space="preserve">Static actuals · restate on next annual filing</t>
  </si>
  <si>
    <t xml:space="preserve">FY2023 financial statements</t>
  </si>
  <si>
    <t xml:space="preserve">Palantir Q4 FY2024 earnings release, 8-K Ex. 99.1, filed Feb 3, 2025</t>
  </si>
  <si>
    <t xml:space="preserve">Static actuals</t>
  </si>
  <si>
    <t xml:space="preserve">Revenue by geography (US / UK / rest of world)</t>
  </si>
  <si>
    <t xml:space="preserve">Regional Breakdown</t>
  </si>
  <si>
    <t xml:space="preserve">FY2025 Form 10-K, segment &amp; geographic note, filed Feb 17, 2026</t>
  </si>
  <si>
    <t xml:space="preserve">Static · Europe/APAC allocation of non-US revenue is an estimate</t>
  </si>
  <si>
    <t xml:space="preserve">Customer counts &amp; government/commercial splits</t>
  </si>
  <si>
    <t xml:space="preserve">Revenue Drivers · Regional Breakdown</t>
  </si>
  <si>
    <t xml:space="preserve">Q4 2025 investor presentation (954 total / 780 commercial customers)</t>
  </si>
  <si>
    <t xml:space="preserve">Static · update quarterly</t>
  </si>
  <si>
    <t xml:space="preserve">GUIDANCE &amp; BUDGET</t>
  </si>
  <si>
    <t xml:space="preserve">FY2025 guidance (budget basis: revenue, adj. op income, adj. FCF)</t>
  </si>
  <si>
    <t xml:space="preserve">Budget vs Actual</t>
  </si>
  <si>
    <t xml:space="preserve">Issued with Q4 FY2024 release, Feb 3, 2025 ($3,741–3,757M revenue)</t>
  </si>
  <si>
    <t xml:space="preserve">Static · replace with FY2026 guidance next cycle</t>
  </si>
  <si>
    <t xml:space="preserve">MARKET DATA</t>
  </si>
  <si>
    <t xml:space="preserve">US Treasury yield curve (3M/2Y/10Y/30Y)</t>
  </si>
  <si>
    <t xml:space="preserve">Market Inputs</t>
  </si>
  <si>
    <t xml:space="preserve">US Treasury daily yield curve; Fed H.15 release (Jul 17, 2026)</t>
  </si>
  <si>
    <t xml:space="preserve">2026-07-17</t>
  </si>
  <si>
    <t xml:space="preserve">refresh_market_data.py or dashboard ⟳ button</t>
  </si>
  <si>
    <t xml:space="preserve">Fed funds target &amp; SOFR</t>
  </si>
  <si>
    <t xml:space="preserve">FOMC statement (Jun 17, 2026); NY Fed SOFR reference rate</t>
  </si>
  <si>
    <t xml:space="preserve">refresh_market_data.py (manual for Fed funds)</t>
  </si>
  <si>
    <t xml:space="preserve">Share price, market cap, EV, P/E, EV/Revenue</t>
  </si>
  <si>
    <t xml:space="preserve">Market Inputs · Competitor Benchmarking</t>
  </si>
  <si>
    <t xml:space="preserve">stockanalysis.com (PLTR); data: S&amp;P Global Market Intelligence, close Jul 17, 2026</t>
  </si>
  <si>
    <t xml:space="preserve">refresh_market_data.py scales by live price ratio</t>
  </si>
  <si>
    <t xml:space="preserve">VALUATION &amp; INDUSTRY BENCHMARKS</t>
  </si>
  <si>
    <t xml:space="preserve">Comp fundamentals · Snowflake (FY ended 1/26)</t>
  </si>
  <si>
    <t xml:space="preserve">Competitor Benchmarking</t>
  </si>
  <si>
    <t xml:space="preserve">Snowflake Q4 FY2026 earnings release, 8-K, Feb 25, 2026</t>
  </si>
  <si>
    <t xml:space="preserve">Static · update after comp earnings</t>
  </si>
  <si>
    <t xml:space="preserve">Comp fundamentals · Datadog (FY2025)</t>
  </si>
  <si>
    <t xml:space="preserve">Datadog Q4/FY2025 results, Feb 10, 2026</t>
  </si>
  <si>
    <t xml:space="preserve">SaaS industry medians (growth, margins, EV/NTM revenue buckets)</t>
  </si>
  <si>
    <t xml:space="preserve">Clouded Judgement 7.10.26 (Altimeter / Jamin Ball); cross-checked vs multiples.vc Jul 2026</t>
  </si>
  <si>
    <t xml:space="preserve">2026-07-10</t>
  </si>
  <si>
    <t xml:space="preserve">Manual · ask Claude to refresh</t>
  </si>
  <si>
    <t xml:space="preserve">FORECAST ASSUMPTIONS</t>
  </si>
  <si>
    <t xml:space="preserve">FY2026–FY2030 growth, margin, tier, compute-cost and scenario inputs</t>
  </si>
  <si>
    <t xml:space="preserve">Assumptions · Revenue Drivers · Regional Breakdown</t>
  </si>
  <si>
    <t xml:space="preserve">Analyst judgment (A. Pardhootman), anchored to FY2026 guidance and disclosed trends</t>
  </si>
  <si>
    <t xml:space="preserve">Every change is logged on the Version History tab</t>
  </si>
  <si>
    <t xml:space="preserve">Conventions: "Static actuals" never change once filed (restated only if the company restates). Market data carries dual stamps; "Data as of" (the market close the values describe) and "Last refreshed" (when the file was last updated). Analyst assumptions are the author's judgment; the Version History tab is the audit trail.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</si>
</sst>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%;\(0.0%\)"/>
    <numFmt numFmtId="166" formatCode="0"/>
    <numFmt numFmtId="167" formatCode="#,##0;\(#,##0\);\-"/>
    <numFmt numFmtId="168" formatCode="#,##0"/>
    <numFmt numFmtId="169" formatCode="#,##0.0"/>
    <numFmt numFmtId="170" formatCode="\$0.00000"/>
    <numFmt numFmtId="171" formatCode="0.000\×"/>
    <numFmt numFmtId="172" formatCode="0.00;\(0.00\)"/>
    <numFmt numFmtId="173" formatCode="\$0.00"/>
    <numFmt numFmtId="174" formatCode="0.0\x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Arial"/>
      <family val="0"/>
      <charset val="1"/>
    </font>
    <font>
      <b val="true"/>
      <sz val="12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563C1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sz val="9"/>
      <color rgb="FF0563C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F1F7"/>
      </patternFill>
    </fill>
    <fill>
      <patternFill patternType="solid">
        <fgColor rgb="FFD9D9D9"/>
        <bgColor rgb="FFEDF1F7"/>
      </patternFill>
    </fill>
    <fill>
      <patternFill patternType="solid">
        <fgColor rgb="FFEDF1F7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0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0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2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xfId="0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74" fontId="8" fillId="2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21" fillId="3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1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top" textRotation="0" wrapText="true" indent="0" shrinkToFit="false"/>
      <protection locked="false" hidden="false"/>
    </xf>
    <xf numFmtId="164" fontId="2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EDF1F7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4"/>
  </cols>
  <sheetData>
    <row r="2" customFormat="false" ht="21.7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</row>
    <row r="7" customFormat="false" ht="15" hidden="false" customHeight="true" outlineLevel="0" collapsed="false">
      <c r="B7" s="6" t="s">
        <v>4</v>
      </c>
    </row>
    <row r="8" customFormat="false" ht="15" hidden="false" customHeight="true" outlineLevel="0" collapsed="false">
      <c r="B8" s="7" t="str">
        <f aca="false">HYPERLINK("mailto:avash.pardhootman@gmail.com","Contact:  avash.pardhootman@gmail.com")</f>
        <v>Contact:  avash.pardhootman@gmail.com</v>
      </c>
    </row>
    <row r="9" customFormat="false" ht="15" hidden="false" customHeight="true" outlineLevel="0" collapsed="false">
      <c r="B9" s="7" t="str">
        <f aca="false">HYPERLINK("https://www.linkedin.com/in/avashpardhootman/","LinkedIn:  linkedin.com/in/avashpardhootman")</f>
        <v>LinkedIn:  linkedin.com/in/avashpardhootman</v>
      </c>
    </row>
    <row r="10" customFormat="false" ht="15" hidden="false" customHeight="true" outlineLevel="0" collapsed="false">
      <c r="B10" s="6" t="s">
        <v>5</v>
      </c>
    </row>
    <row r="11" customFormat="false" ht="15" hidden="false" customHeight="true" outlineLevel="0" collapsed="false">
      <c r="B11" s="6" t="s">
        <v>6</v>
      </c>
    </row>
    <row r="13" customFormat="false" ht="15" hidden="false" customHeight="true" outlineLevel="0" collapsed="false">
      <c r="B13" s="5" t="s">
        <v>7</v>
      </c>
    </row>
    <row r="14" customFormat="false" ht="15" hidden="false" customHeight="true" outlineLevel="0" collapsed="false">
      <c r="B14" s="7" t="str">
        <f aca="false">HYPERLINK("Finance_AI_Dashboard.html","▸  Interactive dashboard  ·  toggle industry, scenario and region in your browser (same folder)")</f>
        <v>▸  Interactive dashboard  ·  toggle industry, scenario and region in your browser (same folder)</v>
      </c>
    </row>
    <row r="15" customFormat="false" ht="15" hidden="false" customHeight="true" outlineLevel="0" collapsed="false">
      <c r="B15" s="7" t="str">
        <f aca="false">HYPERLINK("README.md","▸  Portfolio README  ·  overview of all three models and how they fit together")</f>
        <v>▸  Portfolio README  ·  overview of all three models and how they fit together</v>
      </c>
    </row>
    <row r="16" customFormat="false" ht="15" hidden="false" customHeight="true" outlineLevel="0" collapsed="false">
      <c r="B16" s="7" t="str">
        <f aca="false">HYPERLINK("refresh_market_data.py","▸  Market-data refresh script  ·  run to update prices, rates and refresh stamps everywhere")</f>
        <v>▸  Market-data refresh script  ·  run to update prices, rates and refresh stamps everywhere</v>
      </c>
    </row>
    <row r="18" customFormat="false" ht="15" hidden="false" customHeight="true" outlineLevel="0" collapsed="false">
      <c r="B18" s="5" t="s">
        <v>8</v>
      </c>
    </row>
    <row r="19" customFormat="false" ht="15" hidden="false" customHeight="true" outlineLevel="0" collapsed="false">
      <c r="B19" s="7" t="str">
        <f aca="false">HYPERLINK("#'Assumptions'!A1","▸  Assumptions  ·  Margin, tax, working-capital and financing drivers")</f>
        <v>▸  Assumptions  ·  Margin, tax, working-capital and financing drivers</v>
      </c>
    </row>
    <row r="20" customFormat="false" ht="15" hidden="false" customHeight="true" outlineLevel="0" collapsed="false">
      <c r="B20" s="7" t="str">
        <f aca="false">HYPERLINK("#'Revenue Drivers'!A1","▸  Revenue Drivers  ·  Bottoms-up sector build driving revenue and key costs")</f>
        <v>▸  Revenue Drivers  ·  Bottoms-up sector build driving revenue and key costs</v>
      </c>
    </row>
    <row r="21" customFormat="false" ht="15" hidden="false" customHeight="true" outlineLevel="0" collapsed="false">
      <c r="B21" s="7" t="str">
        <f aca="false">HYPERLINK("#'Regional Breakdown'!A1","▸  Regional Breakdown  ·  NA / Europe / APAC splits and the Standard / Best / Low case selector")</f>
        <v>▸  Regional Breakdown  ·  NA / Europe / APAC splits and the Standard / Best / Low case selector</v>
      </c>
    </row>
    <row r="22" customFormat="false" ht="15" hidden="false" customHeight="true" outlineLevel="0" collapsed="false">
      <c r="B22" s="7" t="str">
        <f aca="false">HYPERLINK("#'Income Statement'!A1","▸  Income Statement  ·  Revenue build-down to EPS")</f>
        <v>▸  Income Statement  ·  Revenue build-down to EPS</v>
      </c>
    </row>
    <row r="23" customFormat="false" ht="15" hidden="false" customHeight="true" outlineLevel="0" collapsed="false">
      <c r="B23" s="7" t="str">
        <f aca="false">HYPERLINK("#'Balance Sheet'!A1","▸  Balance Sheet  ·  Assets, liabilities and equity, with balance check")</f>
        <v>▸  Balance Sheet  ·  Assets, liabilities and equity, with balance check</v>
      </c>
    </row>
    <row r="24" customFormat="false" ht="15" hidden="false" customHeight="true" outlineLevel="0" collapsed="false">
      <c r="B24" s="7" t="str">
        <f aca="false">HYPERLINK("#'Cash Flow'!A1","▸  Cash Flow  ·  Indirect-method cash flow; ending cash links to the balance sheet")</f>
        <v>▸  Cash Flow  ·  Indirect-method cash flow; ending cash links to the balance sheet</v>
      </c>
    </row>
    <row r="25" customFormat="false" ht="15" hidden="false" customHeight="true" outlineLevel="0" collapsed="false">
      <c r="B25" s="7" t="str">
        <f aca="false">HYPERLINK("#'Budget vs Actual'!A1","▸  Budget vs Actual  ·  FY2025 vs guidance with automatic &gt;10% variance flagging")</f>
        <v>▸  Budget vs Actual  ·  FY2025 vs guidance with automatic &gt;10% variance flagging</v>
      </c>
    </row>
    <row r="26" customFormat="false" ht="15" hidden="false" customHeight="true" outlineLevel="0" collapsed="false">
      <c r="B26" s="7" t="str">
        <f aca="false">HYPERLINK("#'Market Inputs'!A1","▸  Market Inputs  ·  Rates and valuation multiples with refresh stamps")</f>
        <v>▸  Market Inputs  ·  Rates and valuation multiples with refresh stamps</v>
      </c>
    </row>
    <row r="27" customFormat="false" ht="15" hidden="false" customHeight="true" outlineLevel="0" collapsed="false">
      <c r="B27" s="7" t="str">
        <f aca="false">HYPERLINK("#'Competitor Benchmarking'!A1","▸  Competitor Benchmarking  ·  Two public comps + peer median + industry benchmarks")</f>
        <v>▸  Competitor Benchmarking  ·  Two public comps + peer median + industry benchmarks</v>
      </c>
    </row>
    <row r="28" customFormat="false" ht="15" hidden="false" customHeight="true" outlineLevel="0" collapsed="false">
      <c r="B28" s="7" t="str">
        <f aca="false">HYPERLINK("#'Version History'!A1","▸  Version History  ·  Audit log of every assumptions and data refresh")</f>
        <v>▸  Version History  ·  Audit log of every assumptions and data refresh</v>
      </c>
    </row>
    <row r="29" customFormat="false" ht="15" hidden="false" customHeight="true" outlineLevel="0" collapsed="false">
      <c r="B29" s="7" t="str">
        <f aca="false">HYPERLINK("#'Sources'!A1","▸  Sources  ·  Where every input comes from: citations, links, last-updated dates")</f>
        <v>▸  Sources  ·  Where every input comes from: citations, links, last-updated dates</v>
      </c>
    </row>
    <row r="31" customFormat="false" ht="15" hidden="false" customHeight="true" outlineLevel="0" collapsed="false">
      <c r="B31" s="5" t="s">
        <v>9</v>
      </c>
    </row>
    <row r="32" customFormat="false" ht="15" hidden="false" customHeight="true" outlineLevel="0" collapsed="false">
      <c r="B32" s="8" t="s">
        <v>10</v>
      </c>
    </row>
    <row r="33" customFormat="false" ht="15" hidden="false" customHeight="true" outlineLevel="0" collapsed="false">
      <c r="B33" s="8" t="s">
        <v>11</v>
      </c>
    </row>
    <row r="34" customFormat="false" ht="15" hidden="false" customHeight="true" outlineLevel="0" collapsed="false">
      <c r="B34" s="8" t="s">
        <v>12</v>
      </c>
    </row>
    <row r="35" customFormat="false" ht="15" hidden="false" customHeight="true" outlineLevel="0" collapsed="false">
      <c r="B35" s="8" t="s">
        <v>13</v>
      </c>
    </row>
    <row r="36" customFormat="false" ht="15" hidden="false" customHeight="true" outlineLevel="0" collapsed="false">
      <c r="B36" s="8" t="s">
        <v>14</v>
      </c>
    </row>
    <row r="38" customFormat="false" ht="15" hidden="false" customHeight="true" outlineLevel="0" collapsed="false">
      <c r="B38" s="5" t="s">
        <v>15</v>
      </c>
    </row>
    <row r="39" customFormat="false" ht="15" hidden="false" customHeight="true" outlineLevel="0" collapsed="false">
      <c r="B39" s="8" t="s">
        <v>16</v>
      </c>
    </row>
    <row r="40" customFormat="false" ht="15" hidden="false" customHeight="true" outlineLevel="0" collapsed="false">
      <c r="B40" s="8" t="s">
        <v>17</v>
      </c>
    </row>
    <row r="41" customFormat="false" ht="15" hidden="false" customHeight="true" outlineLevel="0" collapsed="false">
      <c r="B41" s="8" t="s">
        <v>18</v>
      </c>
    </row>
    <row r="43" customFormat="false" ht="15" hidden="false" customHeight="true" outlineLevel="0" collapsed="false">
      <c r="B43" s="5" t="s">
        <v>19</v>
      </c>
    </row>
    <row r="44" customFormat="false" ht="15" hidden="false" customHeight="true" outlineLevel="0" collapsed="false">
      <c r="B44" s="9" t="s">
        <v>20</v>
      </c>
    </row>
    <row r="45" customFormat="false" ht="15" hidden="false" customHeight="true" outlineLevel="0" collapsed="false">
      <c r="B45" s="8" t="s">
        <v>21</v>
      </c>
    </row>
    <row r="46" customFormat="false" ht="15" hidden="false" customHeight="true" outlineLevel="0" collapsed="false">
      <c r="B46" s="10" t="s">
        <v>22</v>
      </c>
    </row>
    <row r="48" customFormat="false" ht="15" hidden="false" customHeight="true" outlineLevel="0" collapsed="false">
      <c r="B48" s="11" t="s">
        <v>23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24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34</v>
      </c>
    </row>
    <row r="5" customFormat="false" ht="15" hidden="false" customHeight="true" outlineLevel="0" collapsed="false">
      <c r="A5" s="16" t="s">
        <v>35</v>
      </c>
      <c r="C5" s="17" t="n">
        <f aca="false">'Income Statement'!C4/'Income Statement'!B4-1</f>
        <v>0.287861368837561</v>
      </c>
      <c r="D5" s="17" t="n">
        <f aca="false">'Income Statement'!D4/'Income Statement'!C4-1</f>
        <v>0.561833909322155</v>
      </c>
      <c r="E5" s="17" t="n">
        <f aca="false">'Income Statement'!E4/'Income Statement'!D4-1</f>
        <v>0.604452269025255</v>
      </c>
      <c r="F5" s="17" t="n">
        <f aca="false">'Income Statement'!F4/'Income Statement'!E4-1</f>
        <v>0.437619665489978</v>
      </c>
      <c r="G5" s="17" t="n">
        <f aca="false">'Income Statement'!G4/'Income Statement'!F4-1</f>
        <v>0.355797083874645</v>
      </c>
      <c r="H5" s="17" t="n">
        <f aca="false">'Income Statement'!H4/'Income Statement'!G4-1</f>
        <v>0.287537391536008</v>
      </c>
      <c r="I5" s="17" t="n">
        <f aca="false">'Income Statement'!I4/'Income Statement'!H4-1</f>
        <v>0.23987327180249</v>
      </c>
      <c r="K5" s="18" t="s">
        <v>36</v>
      </c>
    </row>
    <row r="6" customFormat="false" ht="15" hidden="false" customHeight="true" outlineLevel="0" collapsed="false">
      <c r="A6" s="16" t="s">
        <v>37</v>
      </c>
      <c r="B6" s="17" t="n">
        <f aca="false">'Income Statement'!B6/'Income Statement'!B4</f>
        <v>0.806245988785678</v>
      </c>
      <c r="C6" s="17" t="n">
        <f aca="false">'Income Statement'!C6/'Income Statement'!C4</f>
        <v>0.802481724874516</v>
      </c>
      <c r="D6" s="17" t="n">
        <f aca="false">'Income Statement'!D6/'Income Statement'!D4</f>
        <v>0.823665172141503</v>
      </c>
      <c r="E6" s="17" t="n">
        <f aca="false">'Income Statement'!E6/'Income Statement'!E4</f>
        <v>0.827441982518548</v>
      </c>
      <c r="F6" s="17" t="n">
        <f aca="false">'Income Statement'!F6/'Income Statement'!F4</f>
        <v>0.828866215642498</v>
      </c>
      <c r="G6" s="17" t="n">
        <f aca="false">'Income Statement'!G6/'Income Statement'!G4</f>
        <v>0.833046743538044</v>
      </c>
      <c r="H6" s="17" t="n">
        <f aca="false">'Income Statement'!H6/'Income Statement'!H4</f>
        <v>0.83776047654597</v>
      </c>
      <c r="I6" s="17" t="n">
        <f aca="false">'Income Statement'!I6/'Income Statement'!I4</f>
        <v>0.84325836092761</v>
      </c>
      <c r="K6" s="18" t="s">
        <v>38</v>
      </c>
    </row>
    <row r="7" customFormat="false" ht="15" hidden="false" customHeight="true" outlineLevel="0" collapsed="false">
      <c r="A7" s="6" t="s">
        <v>39</v>
      </c>
      <c r="B7" s="17" t="n">
        <f aca="false">'Income Statement'!B9/'Income Statement'!B4</f>
        <v>0.334826059365073</v>
      </c>
      <c r="C7" s="17" t="n">
        <f aca="false">'Income Statement'!C9/'Income Statement'!C4</f>
        <v>0.309807304606131</v>
      </c>
      <c r="D7" s="17" t="n">
        <f aca="false">'Income Statement'!D9/'Income Statement'!D4</f>
        <v>0.236146073486307</v>
      </c>
      <c r="E7" s="19" t="n">
        <v>0.21</v>
      </c>
      <c r="F7" s="19" t="n">
        <v>0.19</v>
      </c>
      <c r="G7" s="19" t="n">
        <v>0.175</v>
      </c>
      <c r="H7" s="19" t="n">
        <v>0.163</v>
      </c>
      <c r="I7" s="19" t="n">
        <v>0.152</v>
      </c>
      <c r="K7" s="18" t="s">
        <v>40</v>
      </c>
    </row>
    <row r="8" customFormat="false" ht="15" hidden="false" customHeight="true" outlineLevel="0" collapsed="false">
      <c r="A8" s="6" t="s">
        <v>41</v>
      </c>
      <c r="B8" s="17" t="n">
        <f aca="false">'Income Statement'!B10/'Income Statement'!B4</f>
        <v>0.181852502368527</v>
      </c>
      <c r="C8" s="17" t="n">
        <f aca="false">'Income Statement'!C10/'Income Statement'!C4</f>
        <v>0.177238443319106</v>
      </c>
      <c r="D8" s="17" t="n">
        <f aca="false">'Income Statement'!D10/'Income Statement'!D4</f>
        <v>0.124608139613348</v>
      </c>
      <c r="E8" s="20" t="n">
        <v>0.12</v>
      </c>
      <c r="F8" s="20" t="n">
        <v>0.115</v>
      </c>
      <c r="G8" s="20" t="n">
        <v>0.112</v>
      </c>
      <c r="H8" s="20" t="n">
        <v>0.109</v>
      </c>
      <c r="I8" s="20" t="n">
        <v>0.106</v>
      </c>
    </row>
    <row r="9" customFormat="false" ht="15" hidden="false" customHeight="true" outlineLevel="0" collapsed="false">
      <c r="A9" s="6" t="s">
        <v>42</v>
      </c>
      <c r="B9" s="17" t="n">
        <f aca="false">'Income Statement'!B11/'Income Statement'!B4</f>
        <v>0.235650414469675</v>
      </c>
      <c r="C9" s="17" t="n">
        <f aca="false">'Income Statement'!C11/'Income Statement'!C4</f>
        <v>0.207112039858915</v>
      </c>
      <c r="D9" s="17" t="n">
        <f aca="false">'Income Statement'!D11/'Income Statement'!D4</f>
        <v>0.146961442502043</v>
      </c>
      <c r="E9" s="20" t="n">
        <v>0.125</v>
      </c>
      <c r="F9" s="20" t="n">
        <v>0.112</v>
      </c>
      <c r="G9" s="20" t="n">
        <v>0.102</v>
      </c>
      <c r="H9" s="20" t="n">
        <v>0.095</v>
      </c>
      <c r="I9" s="20" t="n">
        <v>0.089</v>
      </c>
    </row>
    <row r="10" customFormat="false" ht="15" hidden="false" customHeight="true" outlineLevel="0" collapsed="false">
      <c r="A10" s="6" t="s">
        <v>43</v>
      </c>
      <c r="B10" s="17" t="n">
        <f aca="false">'Cash Flow'!B7/'Income Statement'!B4</f>
        <v>0.213887835211675</v>
      </c>
      <c r="C10" s="17" t="n">
        <f aca="false">'Cash Flow'!C7/'Income Statement'!C4</f>
        <v>0.241366711021819</v>
      </c>
      <c r="D10" s="17" t="n">
        <f aca="false">'Cash Flow'!D7/'Income Statement'!D4</f>
        <v>0.15284130341423</v>
      </c>
      <c r="E10" s="20" t="n">
        <v>0.13</v>
      </c>
      <c r="F10" s="20" t="n">
        <v>0.115</v>
      </c>
      <c r="G10" s="20" t="n">
        <v>0.102</v>
      </c>
      <c r="H10" s="20" t="n">
        <v>0.093</v>
      </c>
      <c r="I10" s="20" t="n">
        <v>0.086</v>
      </c>
      <c r="K10" s="18" t="s">
        <v>44</v>
      </c>
    </row>
    <row r="11" customFormat="false" ht="15" hidden="false" customHeight="true" outlineLevel="0" collapsed="false">
      <c r="A11" s="6" t="s">
        <v>45</v>
      </c>
      <c r="B11" s="17" t="n">
        <f aca="false">'Cash Flow'!B6/'Income Statement'!B4</f>
        <v>0.0149904809502151</v>
      </c>
      <c r="C11" s="17" t="n">
        <f aca="false">'Cash Flow'!C6/'Income Statement'!C4</f>
        <v>0.0110231801911494</v>
      </c>
      <c r="D11" s="17" t="n">
        <f aca="false">'Cash Flow'!D6/'Income Statement'!D4</f>
        <v>0.00584187587114223</v>
      </c>
      <c r="E11" s="20" t="n">
        <v>0.006</v>
      </c>
      <c r="F11" s="20" t="n">
        <v>0.006</v>
      </c>
      <c r="G11" s="20" t="n">
        <v>0.006</v>
      </c>
      <c r="H11" s="20" t="n">
        <v>0.006</v>
      </c>
      <c r="I11" s="20" t="n">
        <v>0.006</v>
      </c>
    </row>
    <row r="12" customFormat="false" ht="15" hidden="false" customHeight="true" outlineLevel="0" collapsed="false">
      <c r="A12" s="6" t="s">
        <v>46</v>
      </c>
      <c r="B12" s="17" t="n">
        <f aca="false">'Income Statement'!B18/'Income Statement'!B17</f>
        <v>0.0831579435744081</v>
      </c>
      <c r="C12" s="17" t="n">
        <f aca="false">'Income Statement'!C18/'Income Statement'!C17</f>
        <v>0.0434508854740552</v>
      </c>
      <c r="D12" s="17" t="n">
        <f aca="false">'Income Statement'!D18/'Income Statement'!D17</f>
        <v>0.0137108958300148</v>
      </c>
      <c r="E12" s="19" t="n">
        <v>0.05</v>
      </c>
      <c r="F12" s="19" t="n">
        <v>0.12</v>
      </c>
      <c r="G12" s="19" t="n">
        <v>0.18</v>
      </c>
      <c r="H12" s="19" t="n">
        <v>0.21</v>
      </c>
      <c r="I12" s="19" t="n">
        <v>0.23</v>
      </c>
      <c r="K12" s="18" t="s">
        <v>47</v>
      </c>
    </row>
    <row r="13" customFormat="false" ht="15" hidden="false" customHeight="true" outlineLevel="0" collapsed="false">
      <c r="A13" s="6" t="s">
        <v>48</v>
      </c>
      <c r="C13" s="17" t="n">
        <f aca="false">'Income Statement'!C15/('Balance Sheet'!B5+'Balance Sheet'!B6)</f>
        <v>0.0535608090950386</v>
      </c>
      <c r="D13" s="17" t="n">
        <f aca="false">'Income Statement'!D15/('Balance Sheet'!C5+'Balance Sheet'!C6)</f>
        <v>0.0438205678140309</v>
      </c>
      <c r="E13" s="20" t="n">
        <v>0.04</v>
      </c>
      <c r="F13" s="20" t="n">
        <v>0.04</v>
      </c>
      <c r="G13" s="20" t="n">
        <v>0.04</v>
      </c>
      <c r="H13" s="20" t="n">
        <v>0.04</v>
      </c>
      <c r="I13" s="20" t="n">
        <v>0.04</v>
      </c>
      <c r="K13" s="18" t="s">
        <v>49</v>
      </c>
    </row>
    <row r="14" customFormat="false" ht="15" hidden="false" customHeight="true" outlineLevel="0" collapsed="false">
      <c r="A14" s="6" t="s">
        <v>50</v>
      </c>
      <c r="C14" s="17" t="n">
        <f aca="false">'Income Statement'!C23/'Income Statement'!B23-1</f>
        <v>0.0665343154939213</v>
      </c>
      <c r="D14" s="17" t="n">
        <f aca="false">'Income Statement'!D23/'Income Statement'!C23-1</f>
        <v>0.0466697241492433</v>
      </c>
      <c r="E14" s="20" t="n">
        <v>0.015</v>
      </c>
      <c r="F14" s="20" t="n">
        <v>0.014</v>
      </c>
      <c r="G14" s="20" t="n">
        <v>0.013</v>
      </c>
      <c r="H14" s="20" t="n">
        <v>0.012</v>
      </c>
      <c r="I14" s="20" t="n">
        <v>0.011</v>
      </c>
    </row>
    <row r="16" customFormat="false" ht="15" hidden="false" customHeight="true" outlineLevel="0" collapsed="false">
      <c r="A16" s="15" t="s">
        <v>51</v>
      </c>
    </row>
    <row r="17" customFormat="false" ht="15" hidden="false" customHeight="true" outlineLevel="0" collapsed="false">
      <c r="A17" s="6" t="s">
        <v>52</v>
      </c>
      <c r="B17" s="21" t="n">
        <f aca="false">'Balance Sheet'!B7/'Income Statement'!B4*365</f>
        <v>59.8406480504375</v>
      </c>
      <c r="C17" s="21" t="n">
        <f aca="false">'Balance Sheet'!C7/'Income Statement'!C4*365</f>
        <v>73.2479522820918</v>
      </c>
      <c r="D17" s="21" t="n">
        <f aca="false">'Balance Sheet'!D7/'Income Statement'!D4*365</f>
        <v>84.9867756196813</v>
      </c>
      <c r="E17" s="22" t="n">
        <v>85</v>
      </c>
      <c r="F17" s="22" t="n">
        <v>84</v>
      </c>
      <c r="G17" s="22" t="n">
        <v>83</v>
      </c>
      <c r="H17" s="22" t="n">
        <v>82</v>
      </c>
      <c r="I17" s="22" t="n">
        <v>81</v>
      </c>
      <c r="K17" s="18" t="s">
        <v>53</v>
      </c>
    </row>
    <row r="18" customFormat="false" ht="15" hidden="false" customHeight="true" outlineLevel="0" collapsed="false">
      <c r="A18" s="6" t="s">
        <v>54</v>
      </c>
      <c r="B18" s="17" t="n">
        <f aca="false">'Balance Sheet'!B8/'Income Statement'!B4</f>
        <v>0.0447885224888675</v>
      </c>
      <c r="C18" s="17" t="n">
        <f aca="false">'Balance Sheet'!C8/'Income Statement'!C4</f>
        <v>0.0451068519462699</v>
      </c>
      <c r="D18" s="17" t="n">
        <f aca="false">'Balance Sheet'!D8/'Income Statement'!D4</f>
        <v>0.0310731042224619</v>
      </c>
      <c r="E18" s="20" t="n">
        <v>0.031</v>
      </c>
      <c r="F18" s="20" t="n">
        <v>0.031</v>
      </c>
      <c r="G18" s="20" t="n">
        <v>0.031</v>
      </c>
      <c r="H18" s="20" t="n">
        <v>0.031</v>
      </c>
      <c r="I18" s="20" t="n">
        <v>0.031</v>
      </c>
    </row>
    <row r="19" customFormat="false" ht="15" hidden="false" customHeight="true" outlineLevel="0" collapsed="false">
      <c r="A19" s="6" t="s">
        <v>55</v>
      </c>
      <c r="B19" s="17" t="n">
        <f aca="false">'Balance Sheet'!B12/'Income Statement'!B4</f>
        <v>0.0688472691383237</v>
      </c>
      <c r="C19" s="17" t="n">
        <f aca="false">'Balance Sheet'!C12/'Income Statement'!C4</f>
        <v>0.0580061399256746</v>
      </c>
      <c r="D19" s="17" t="n">
        <f aca="false">'Balance Sheet'!D12/'Income Statement'!D4</f>
        <v>0.0648321977295671</v>
      </c>
      <c r="E19" s="20" t="n">
        <v>0.065</v>
      </c>
      <c r="F19" s="20" t="n">
        <v>0.065</v>
      </c>
      <c r="G19" s="20" t="n">
        <v>0.065</v>
      </c>
      <c r="H19" s="20" t="n">
        <v>0.065</v>
      </c>
      <c r="I19" s="20" t="n">
        <v>0.065</v>
      </c>
    </row>
    <row r="20" customFormat="false" ht="15" hidden="false" customHeight="true" outlineLevel="0" collapsed="false">
      <c r="A20" s="6" t="s">
        <v>56</v>
      </c>
      <c r="B20" s="17" t="n">
        <f aca="false">'Balance Sheet'!B16/('Income Statement'!B5+'Income Statement'!B12)</f>
        <v>0.00575854399381296</v>
      </c>
      <c r="C20" s="17" t="n">
        <f aca="false">'Balance Sheet'!C16/('Income Statement'!C5+'Income Statement'!C12)</f>
        <v>4.03114706876902E-005</v>
      </c>
      <c r="D20" s="17" t="n">
        <f aca="false">'Balance Sheet'!D16/('Income Statement'!D5+'Income Statement'!D12)</f>
        <v>0.00263406230615683</v>
      </c>
      <c r="E20" s="20" t="n">
        <v>0.003</v>
      </c>
      <c r="F20" s="20" t="n">
        <v>0.003</v>
      </c>
      <c r="G20" s="20" t="n">
        <v>0.003</v>
      </c>
      <c r="H20" s="20" t="n">
        <v>0.003</v>
      </c>
      <c r="I20" s="20" t="n">
        <v>0.003</v>
      </c>
    </row>
    <row r="21" customFormat="false" ht="15" hidden="false" customHeight="true" outlineLevel="0" collapsed="false">
      <c r="A21" s="6" t="s">
        <v>57</v>
      </c>
      <c r="B21" s="17" t="n">
        <f aca="false">'Balance Sheet'!B17/('Income Statement'!B5+'Income Statement'!B12)</f>
        <v>0.105931651849888</v>
      </c>
      <c r="C21" s="17" t="n">
        <f aca="false">'Balance Sheet'!C17/('Income Statement'!C5+'Income Statement'!C12)</f>
        <v>0.167134488459178</v>
      </c>
      <c r="D21" s="17" t="n">
        <f aca="false">'Balance Sheet'!D17/('Income Statement'!D5+'Income Statement'!D12)</f>
        <v>0.116162670332926</v>
      </c>
      <c r="E21" s="20" t="n">
        <v>0.115</v>
      </c>
      <c r="F21" s="20" t="n">
        <v>0.113</v>
      </c>
      <c r="G21" s="20" t="n">
        <v>0.111</v>
      </c>
      <c r="H21" s="20" t="n">
        <v>0.109</v>
      </c>
      <c r="I21" s="20" t="n">
        <v>0.107</v>
      </c>
    </row>
    <row r="22" customFormat="false" ht="15" hidden="false" customHeight="true" outlineLevel="0" collapsed="false">
      <c r="A22" s="6" t="s">
        <v>58</v>
      </c>
      <c r="B22" s="17" t="n">
        <f aca="false">'Balance Sheet'!B18/'Income Statement'!B4</f>
        <v>0.110966143103947</v>
      </c>
      <c r="C22" s="17" t="n">
        <f aca="false">'Balance Sheet'!C18/'Income Statement'!C4</f>
        <v>0.0906031637682267</v>
      </c>
      <c r="D22" s="17" t="n">
        <f aca="false">'Balance Sheet'!D18/'Income Statement'!D4</f>
        <v>0.0913792725909328</v>
      </c>
      <c r="E22" s="20" t="n">
        <v>0.091</v>
      </c>
      <c r="F22" s="20" t="n">
        <v>0.091</v>
      </c>
      <c r="G22" s="20" t="n">
        <v>0.091</v>
      </c>
      <c r="H22" s="20" t="n">
        <v>0.091</v>
      </c>
      <c r="I22" s="20" t="n">
        <v>0.091</v>
      </c>
    </row>
    <row r="23" customFormat="false" ht="15" hidden="false" customHeight="true" outlineLevel="0" collapsed="false">
      <c r="A23" s="6" t="s">
        <v>59</v>
      </c>
      <c r="B23" s="17" t="n">
        <f aca="false">'Balance Sheet'!B22/'Income Statement'!B4</f>
        <v>0.0126053252746502</v>
      </c>
      <c r="C23" s="17" t="n">
        <f aca="false">'Balance Sheet'!C22/'Income Statement'!C4</f>
        <v>0.0139190028152086</v>
      </c>
      <c r="D23" s="17" t="n">
        <f aca="false">'Balance Sheet'!D22/'Income Statement'!D4</f>
        <v>0.0103265685699258</v>
      </c>
      <c r="E23" s="20" t="n">
        <v>0.01</v>
      </c>
      <c r="F23" s="20" t="n">
        <v>0.01</v>
      </c>
      <c r="G23" s="20" t="n">
        <v>0.01</v>
      </c>
      <c r="H23" s="20" t="n">
        <v>0.01</v>
      </c>
      <c r="I23" s="20" t="n">
        <v>0.01</v>
      </c>
    </row>
    <row r="24" customFormat="false" ht="15" hidden="false" customHeight="true" outlineLevel="0" collapsed="false">
      <c r="A24" s="6" t="s">
        <v>60</v>
      </c>
      <c r="B24" s="17" t="n">
        <f aca="false">'Balance Sheet'!B19/'Income Statement'!B4</f>
        <v>0.0943042104941457</v>
      </c>
      <c r="C24" s="17" t="n">
        <f aca="false">'Balance Sheet'!C19/'Income Statement'!C4</f>
        <v>0.0925672141090564</v>
      </c>
      <c r="D24" s="17" t="n">
        <f aca="false">'Balance Sheet'!D19/'Income Statement'!D4</f>
        <v>0.0797833333258853</v>
      </c>
      <c r="E24" s="20" t="n">
        <v>0.079</v>
      </c>
      <c r="F24" s="20" t="n">
        <v>0.078</v>
      </c>
      <c r="G24" s="20" t="n">
        <v>0.077</v>
      </c>
      <c r="H24" s="20" t="n">
        <v>0.076</v>
      </c>
      <c r="I24" s="20" t="n">
        <v>0.075</v>
      </c>
    </row>
    <row r="25" customFormat="false" ht="15" hidden="false" customHeight="true" outlineLevel="0" collapsed="false">
      <c r="A25" s="6" t="s">
        <v>61</v>
      </c>
      <c r="B25" s="17" t="n">
        <f aca="false">-1*'Cash Flow'!B17/'Income Statement'!B4</f>
        <v>0.00679277235358731</v>
      </c>
      <c r="C25" s="17" t="n">
        <f aca="false">-1*'Cash Flow'!C17/'Income Statement'!C4</f>
        <v>0.00440899289375318</v>
      </c>
      <c r="D25" s="17" t="n">
        <f aca="false">-1*'Cash Flow'!D17/'Income Statement'!D4</f>
        <v>0.00757064212147795</v>
      </c>
      <c r="E25" s="20" t="n">
        <v>0.01</v>
      </c>
      <c r="F25" s="20" t="n">
        <v>0.01</v>
      </c>
      <c r="G25" s="20" t="n">
        <v>0.009</v>
      </c>
      <c r="H25" s="20" t="n">
        <v>0.009</v>
      </c>
      <c r="I25" s="20" t="n">
        <v>0.008</v>
      </c>
    </row>
    <row r="27" customFormat="false" ht="15" hidden="false" customHeight="true" outlineLevel="0" collapsed="false">
      <c r="A27" s="15" t="s">
        <v>62</v>
      </c>
    </row>
    <row r="28" customFormat="false" ht="15" hidden="false" customHeight="true" outlineLevel="0" collapsed="false">
      <c r="A28" s="6" t="s">
        <v>63</v>
      </c>
      <c r="B28" s="23" t="n">
        <f aca="false">-'Cash Flow'!B24</f>
        <v>-0</v>
      </c>
      <c r="C28" s="23" t="n">
        <f aca="false">-'Cash Flow'!C24</f>
        <v>64196</v>
      </c>
      <c r="D28" s="23" t="n">
        <f aca="false">-'Cash Flow'!D24</f>
        <v>74985</v>
      </c>
      <c r="E28" s="24" t="n">
        <v>300000</v>
      </c>
      <c r="F28" s="24" t="n">
        <v>400000</v>
      </c>
      <c r="G28" s="24" t="n">
        <v>500000</v>
      </c>
      <c r="H28" s="24" t="n">
        <v>600000</v>
      </c>
      <c r="I28" s="24" t="n">
        <v>700000</v>
      </c>
      <c r="K28" s="18" t="s">
        <v>64</v>
      </c>
    </row>
    <row r="29" customFormat="false" ht="15" hidden="false" customHeight="true" outlineLevel="0" collapsed="false">
      <c r="A29" s="6" t="s">
        <v>65</v>
      </c>
      <c r="B29" s="23" t="n">
        <f aca="false">'Cash Flow'!B23</f>
        <v>218238</v>
      </c>
      <c r="C29" s="23" t="n">
        <f aca="false">'Cash Flow'!C23</f>
        <v>745396</v>
      </c>
      <c r="D29" s="23" t="n">
        <f aca="false">'Cash Flow'!D23</f>
        <v>129107</v>
      </c>
      <c r="E29" s="24" t="n">
        <v>150000</v>
      </c>
      <c r="F29" s="24" t="n">
        <v>150000</v>
      </c>
      <c r="G29" s="24" t="n">
        <v>150000</v>
      </c>
      <c r="H29" s="24" t="n">
        <v>150000</v>
      </c>
      <c r="I29" s="24" t="n">
        <v>150000</v>
      </c>
    </row>
    <row r="30" customFormat="false" ht="15" hidden="false" customHeight="true" outlineLevel="0" collapsed="false">
      <c r="A30" s="6" t="s">
        <v>66</v>
      </c>
      <c r="B30" s="23" t="n">
        <f aca="false">-'Cash Flow'!B25</f>
        <v>-0</v>
      </c>
      <c r="C30" s="23" t="n">
        <f aca="false">-'Cash Flow'!C25</f>
        <v>218280</v>
      </c>
      <c r="D30" s="23" t="n">
        <f aca="false">-'Cash Flow'!D25</f>
        <v>81117</v>
      </c>
      <c r="E30" s="24" t="n">
        <v>100000</v>
      </c>
      <c r="F30" s="24" t="n">
        <v>100000</v>
      </c>
      <c r="G30" s="24" t="n">
        <v>100000</v>
      </c>
      <c r="H30" s="24" t="n">
        <v>100000</v>
      </c>
      <c r="I30" s="24" t="n">
        <v>100000</v>
      </c>
    </row>
    <row r="32" customFormat="false" ht="15" hidden="false" customHeight="true" outlineLevel="0" collapsed="false">
      <c r="A32" s="16" t="s">
        <v>67</v>
      </c>
    </row>
    <row r="33" customFormat="false" ht="15" hidden="false" customHeight="true" outlineLevel="0" collapsed="false">
      <c r="A33" s="16" t="s">
        <v>68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69</v>
      </c>
    </row>
    <row r="2" customFormat="false" ht="15" hidden="false" customHeight="true" outlineLevel="0" collapsed="false">
      <c r="A2" s="11" t="s">
        <v>70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71</v>
      </c>
    </row>
    <row r="5" customFormat="false" ht="15" hidden="false" customHeight="true" outlineLevel="0" collapsed="false">
      <c r="A5" s="6" t="s">
        <v>72</v>
      </c>
      <c r="B5" s="24" t="n">
        <v>1222200</v>
      </c>
      <c r="C5" s="24" t="n">
        <v>1569600</v>
      </c>
      <c r="D5" s="24" t="n">
        <v>2402000</v>
      </c>
      <c r="E5" s="23" t="n">
        <f aca="false">D5*(1+E6)</f>
        <v>3651040</v>
      </c>
      <c r="F5" s="23" t="n">
        <f aca="false">E5*(1+F6)</f>
        <v>4965414.4</v>
      </c>
      <c r="G5" s="23" t="n">
        <f aca="false">F5*(1+G6)</f>
        <v>6355730.432</v>
      </c>
      <c r="H5" s="23" t="n">
        <f aca="false">G5*(1+H6)</f>
        <v>7753991.12704</v>
      </c>
      <c r="I5" s="23" t="n">
        <f aca="false">H5*(1+I6)</f>
        <v>9149709.5299072</v>
      </c>
    </row>
    <row r="6" customFormat="false" ht="15" hidden="false" customHeight="true" outlineLevel="0" collapsed="false">
      <c r="A6" s="6" t="s">
        <v>73</v>
      </c>
      <c r="C6" s="17" t="n">
        <f aca="false">C5/B5-1</f>
        <v>0.284241531664212</v>
      </c>
      <c r="D6" s="17" t="n">
        <f aca="false">D5/C5-1</f>
        <v>0.53032619775739</v>
      </c>
      <c r="E6" s="19" t="n">
        <v>0.52</v>
      </c>
      <c r="F6" s="19" t="n">
        <v>0.36</v>
      </c>
      <c r="G6" s="19" t="n">
        <v>0.28</v>
      </c>
      <c r="H6" s="19" t="n">
        <v>0.22</v>
      </c>
      <c r="I6" s="19" t="n">
        <v>0.18</v>
      </c>
    </row>
    <row r="8" customFormat="false" ht="15" hidden="false" customHeight="true" outlineLevel="0" collapsed="false">
      <c r="A8" s="15" t="s">
        <v>74</v>
      </c>
    </row>
    <row r="9" customFormat="false" ht="15" hidden="false" customHeight="true" outlineLevel="0" collapsed="false">
      <c r="A9" s="6" t="s">
        <v>75</v>
      </c>
      <c r="B9" s="25" t="n">
        <v>375</v>
      </c>
      <c r="C9" s="25" t="n">
        <v>571</v>
      </c>
      <c r="D9" s="25" t="n">
        <v>780</v>
      </c>
      <c r="E9" s="26" t="n">
        <f aca="false">D9*(1+E10)</f>
        <v>1029.6</v>
      </c>
      <c r="F9" s="26" t="n">
        <f aca="false">E9*(1+F10)</f>
        <v>1307.592</v>
      </c>
      <c r="G9" s="26" t="n">
        <f aca="false">F9*(1+G10)</f>
        <v>1608.33816</v>
      </c>
      <c r="H9" s="26" t="n">
        <f aca="false">G9*(1+H10)</f>
        <v>1913.9224104</v>
      </c>
      <c r="I9" s="26" t="n">
        <f aca="false">H9*(1+I10)</f>
        <v>2220.149996064</v>
      </c>
    </row>
    <row r="10" customFormat="false" ht="15" hidden="false" customHeight="true" outlineLevel="0" collapsed="false">
      <c r="A10" s="6" t="s">
        <v>76</v>
      </c>
      <c r="C10" s="17" t="n">
        <f aca="false">C9/B9-1</f>
        <v>0.522666666666667</v>
      </c>
      <c r="D10" s="17" t="n">
        <f aca="false">D9/C9-1</f>
        <v>0.366024518388792</v>
      </c>
      <c r="E10" s="19" t="n">
        <v>0.32</v>
      </c>
      <c r="F10" s="19" t="n">
        <v>0.27</v>
      </c>
      <c r="G10" s="19" t="n">
        <v>0.23</v>
      </c>
      <c r="H10" s="19" t="n">
        <v>0.19</v>
      </c>
      <c r="I10" s="19" t="n">
        <v>0.16</v>
      </c>
    </row>
    <row r="11" customFormat="false" ht="15" hidden="false" customHeight="true" outlineLevel="0" collapsed="false">
      <c r="A11" s="6" t="s">
        <v>77</v>
      </c>
      <c r="B11" s="26" t="n">
        <f aca="false">B13/B9</f>
        <v>2674.16533333333</v>
      </c>
      <c r="C11" s="26" t="n">
        <f aca="false">C13/C9</f>
        <v>2269.53940455342</v>
      </c>
      <c r="D11" s="26" t="n">
        <f aca="false">D13/D9</f>
        <v>2658.2641025641</v>
      </c>
      <c r="E11" s="26" t="n">
        <f aca="false">D11*(1+E12)</f>
        <v>3136.75164102564</v>
      </c>
      <c r="F11" s="26" t="n">
        <f aca="false">E11*(1+F12)</f>
        <v>3575.89687076923</v>
      </c>
      <c r="G11" s="26" t="n">
        <f aca="false">F11*(1+G12)</f>
        <v>4005.00449526154</v>
      </c>
      <c r="H11" s="26" t="n">
        <f aca="false">G11*(1+H12)</f>
        <v>4405.50494478769</v>
      </c>
      <c r="I11" s="26" t="n">
        <f aca="false">H11*(1+I12)</f>
        <v>4802.00038981859</v>
      </c>
    </row>
    <row r="12" customFormat="false" ht="15" hidden="false" customHeight="true" outlineLevel="0" collapsed="false">
      <c r="A12" s="6" t="s">
        <v>78</v>
      </c>
      <c r="C12" s="17" t="n">
        <f aca="false">C11/B11-1</f>
        <v>-0.151309241704796</v>
      </c>
      <c r="D12" s="17" t="n">
        <f aca="false">D11/C11-1</f>
        <v>0.171279113828464</v>
      </c>
      <c r="E12" s="19" t="n">
        <v>0.18</v>
      </c>
      <c r="F12" s="19" t="n">
        <v>0.14</v>
      </c>
      <c r="G12" s="19" t="n">
        <v>0.12</v>
      </c>
      <c r="H12" s="19" t="n">
        <v>0.1</v>
      </c>
      <c r="I12" s="19" t="n">
        <v>0.09</v>
      </c>
    </row>
    <row r="13" customFormat="false" ht="15" hidden="false" customHeight="true" outlineLevel="0" collapsed="false">
      <c r="A13" s="15" t="s">
        <v>79</v>
      </c>
      <c r="B13" s="24" t="n">
        <v>1002812</v>
      </c>
      <c r="C13" s="24" t="n">
        <v>1295907</v>
      </c>
      <c r="D13" s="24" t="n">
        <v>2073446</v>
      </c>
      <c r="E13" s="27" t="n">
        <f aca="false">E9*E11</f>
        <v>3229599.4896</v>
      </c>
      <c r="F13" s="27" t="n">
        <f aca="false">F9*F11</f>
        <v>4675814.14104288</v>
      </c>
      <c r="G13" s="27" t="n">
        <f aca="false">G9*G11</f>
        <v>6441401.56070067</v>
      </c>
      <c r="H13" s="27" t="n">
        <f aca="false">H9*H11</f>
        <v>8431794.64295718</v>
      </c>
      <c r="I13" s="27" t="n">
        <f aca="false">I9*I11</f>
        <v>10661161.1465551</v>
      </c>
    </row>
    <row r="15" customFormat="false" ht="15" hidden="false" customHeight="true" outlineLevel="0" collapsed="false">
      <c r="A15" s="15" t="s">
        <v>80</v>
      </c>
    </row>
    <row r="16" customFormat="false" ht="15" hidden="false" customHeight="true" outlineLevel="0" collapsed="false">
      <c r="A16" s="6" t="s">
        <v>81</v>
      </c>
      <c r="E16" s="25" t="n">
        <v>4000</v>
      </c>
      <c r="F16" s="25" t="n">
        <v>9000</v>
      </c>
      <c r="G16" s="25" t="n">
        <v>16000</v>
      </c>
      <c r="H16" s="25" t="n">
        <v>25000</v>
      </c>
      <c r="I16" s="25" t="n">
        <v>35000</v>
      </c>
    </row>
    <row r="17" customFormat="false" ht="15" hidden="false" customHeight="true" outlineLevel="0" collapsed="false">
      <c r="A17" s="6" t="s">
        <v>82</v>
      </c>
      <c r="E17" s="28" t="n">
        <v>15</v>
      </c>
      <c r="F17" s="28" t="n">
        <v>15.5</v>
      </c>
      <c r="G17" s="28" t="n">
        <v>16</v>
      </c>
      <c r="H17" s="28" t="n">
        <v>16.5</v>
      </c>
      <c r="I17" s="28" t="n">
        <v>17</v>
      </c>
    </row>
    <row r="18" customFormat="false" ht="15" hidden="false" customHeight="true" outlineLevel="0" collapsed="false">
      <c r="A18" s="6" t="s">
        <v>83</v>
      </c>
      <c r="E18" s="25" t="n">
        <v>1500</v>
      </c>
      <c r="F18" s="25" t="n">
        <v>3400</v>
      </c>
      <c r="G18" s="25" t="n">
        <v>6200</v>
      </c>
      <c r="H18" s="25" t="n">
        <v>9500</v>
      </c>
      <c r="I18" s="25" t="n">
        <v>13000</v>
      </c>
    </row>
    <row r="19" customFormat="false" ht="15" hidden="false" customHeight="true" outlineLevel="0" collapsed="false">
      <c r="A19" s="6" t="s">
        <v>84</v>
      </c>
      <c r="E19" s="28" t="n">
        <v>60</v>
      </c>
      <c r="F19" s="28" t="n">
        <v>62</v>
      </c>
      <c r="G19" s="28" t="n">
        <v>64</v>
      </c>
      <c r="H19" s="28" t="n">
        <v>66</v>
      </c>
      <c r="I19" s="28" t="n">
        <v>68</v>
      </c>
    </row>
    <row r="20" customFormat="false" ht="15" hidden="false" customHeight="true" outlineLevel="0" collapsed="false">
      <c r="A20" s="6" t="s">
        <v>85</v>
      </c>
      <c r="E20" s="25" t="n">
        <v>300</v>
      </c>
      <c r="F20" s="25" t="n">
        <v>650</v>
      </c>
      <c r="G20" s="25" t="n">
        <v>1050</v>
      </c>
      <c r="H20" s="25" t="n">
        <v>1500</v>
      </c>
      <c r="I20" s="25" t="n">
        <v>1950</v>
      </c>
    </row>
    <row r="21" customFormat="false" ht="15" hidden="false" customHeight="true" outlineLevel="0" collapsed="false">
      <c r="A21" s="6" t="s">
        <v>86</v>
      </c>
      <c r="E21" s="28" t="n">
        <v>500</v>
      </c>
      <c r="F21" s="28" t="n">
        <v>510</v>
      </c>
      <c r="G21" s="28" t="n">
        <v>520</v>
      </c>
      <c r="H21" s="28" t="n">
        <v>530</v>
      </c>
      <c r="I21" s="28" t="n">
        <v>540</v>
      </c>
    </row>
    <row r="22" customFormat="false" ht="15" hidden="false" customHeight="true" outlineLevel="0" collapsed="false">
      <c r="A22" s="15" t="s">
        <v>87</v>
      </c>
      <c r="E22" s="27" t="n">
        <f aca="false">E16*E17+E18*E19+E20*E21</f>
        <v>300000</v>
      </c>
      <c r="F22" s="27" t="n">
        <f aca="false">F16*F17+F18*F19+F20*F21</f>
        <v>681800</v>
      </c>
      <c r="G22" s="27" t="n">
        <f aca="false">G16*G17+G18*G19+G20*G21</f>
        <v>1198800</v>
      </c>
      <c r="H22" s="27" t="n">
        <f aca="false">H16*H17+H18*H19+H20*H21</f>
        <v>1834500</v>
      </c>
      <c r="I22" s="27" t="n">
        <f aca="false">I16*I17+I18*I19+I20*I21</f>
        <v>2532000</v>
      </c>
    </row>
    <row r="24" customFormat="false" ht="15" hidden="false" customHeight="true" outlineLevel="0" collapsed="false">
      <c r="A24" s="15" t="s">
        <v>88</v>
      </c>
      <c r="B24" s="29" t="n">
        <f aca="false">SUM(B5,B13,B22)</f>
        <v>2225012</v>
      </c>
      <c r="C24" s="29" t="n">
        <f aca="false">SUM(C5,C13,C22)</f>
        <v>2865507</v>
      </c>
      <c r="D24" s="29" t="n">
        <f aca="false">SUM(D5,D13,D22)</f>
        <v>4475446</v>
      </c>
      <c r="E24" s="29" t="n">
        <f aca="false">SUM(E5,E13,E22)</f>
        <v>7180639.4896</v>
      </c>
      <c r="F24" s="29" t="n">
        <f aca="false">SUM(F5,F13,F22)</f>
        <v>10323028.5410429</v>
      </c>
      <c r="G24" s="29" t="n">
        <f aca="false">SUM(G5,G13,G22)</f>
        <v>13995931.9927007</v>
      </c>
      <c r="H24" s="29" t="n">
        <f aca="false">SUM(H5,H13,H22)</f>
        <v>18020285.7699972</v>
      </c>
      <c r="I24" s="29" t="n">
        <f aca="false">SUM(I5,I13,I22)</f>
        <v>22342870.6764623</v>
      </c>
    </row>
    <row r="25" customFormat="false" ht="15" hidden="false" customHeight="true" outlineLevel="0" collapsed="false">
      <c r="A25" s="6" t="s">
        <v>89</v>
      </c>
      <c r="C25" s="17" t="n">
        <f aca="false">C24/B24-1</f>
        <v>0.287861368837561</v>
      </c>
      <c r="D25" s="17" t="n">
        <f aca="false">D24/C24-1</f>
        <v>0.561833909322155</v>
      </c>
      <c r="E25" s="17" t="n">
        <f aca="false">E24/D24-1</f>
        <v>0.604452269025255</v>
      </c>
      <c r="F25" s="17" t="n">
        <f aca="false">F24/E24-1</f>
        <v>0.437619665489978</v>
      </c>
      <c r="G25" s="17" t="n">
        <f aca="false">G24/F24-1</f>
        <v>0.355797083874645</v>
      </c>
      <c r="H25" s="17" t="n">
        <f aca="false">H24/G24-1</f>
        <v>0.287537391536008</v>
      </c>
      <c r="I25" s="17" t="n">
        <f aca="false">I24/H24-1</f>
        <v>0.23987327180249</v>
      </c>
    </row>
    <row r="26" customFormat="false" ht="15" hidden="false" customHeight="true" outlineLevel="0" collapsed="false">
      <c r="A26" s="16" t="s">
        <v>90</v>
      </c>
      <c r="B26" s="30" t="n">
        <f aca="false">B24-'Regional Breakdown'!B18</f>
        <v>0</v>
      </c>
      <c r="C26" s="30" t="n">
        <f aca="false">C24-'Regional Breakdown'!C18</f>
        <v>0</v>
      </c>
      <c r="D26" s="30" t="n">
        <f aca="false">D24-'Regional Breakdown'!D18</f>
        <v>0</v>
      </c>
      <c r="E26" s="30" t="n">
        <f aca="false">E24-'Regional Breakdown'!E18</f>
        <v>0</v>
      </c>
      <c r="F26" s="30" t="n">
        <f aca="false">F24-'Regional Breakdown'!F18</f>
        <v>0</v>
      </c>
      <c r="G26" s="30" t="n">
        <f aca="false">G24-'Regional Breakdown'!G18</f>
        <v>0</v>
      </c>
      <c r="H26" s="30" t="n">
        <f aca="false">H24-'Regional Breakdown'!H18</f>
        <v>0</v>
      </c>
      <c r="I26" s="30" t="n">
        <f aca="false">I24-'Regional Breakdown'!I18</f>
        <v>0</v>
      </c>
    </row>
    <row r="28" customFormat="false" ht="15" hidden="false" customHeight="true" outlineLevel="0" collapsed="false">
      <c r="A28" s="15" t="s">
        <v>91</v>
      </c>
    </row>
    <row r="29" customFormat="false" ht="15" hidden="false" customHeight="true" outlineLevel="0" collapsed="false">
      <c r="A29" s="6" t="s">
        <v>92</v>
      </c>
      <c r="E29" s="31" t="n">
        <v>1500</v>
      </c>
      <c r="F29" s="31" t="n">
        <v>2600</v>
      </c>
      <c r="G29" s="31" t="n">
        <v>4100</v>
      </c>
      <c r="H29" s="31" t="n">
        <v>6000</v>
      </c>
      <c r="I29" s="31" t="n">
        <v>8200</v>
      </c>
    </row>
    <row r="30" customFormat="false" ht="15" hidden="false" customHeight="true" outlineLevel="0" collapsed="false">
      <c r="A30" s="6" t="s">
        <v>93</v>
      </c>
      <c r="E30" s="32" t="n">
        <v>0.0004</v>
      </c>
      <c r="F30" s="32" t="n">
        <v>0.00034</v>
      </c>
      <c r="G30" s="32" t="n">
        <v>0.00029</v>
      </c>
      <c r="H30" s="32" t="n">
        <v>0.00025</v>
      </c>
      <c r="I30" s="32" t="n">
        <v>0.00022</v>
      </c>
    </row>
    <row r="31" customFormat="false" ht="15" hidden="false" customHeight="true" outlineLevel="0" collapsed="false">
      <c r="A31" s="6" t="s">
        <v>94</v>
      </c>
      <c r="E31" s="23" t="n">
        <f aca="false">E29*E30*1000000</f>
        <v>600000</v>
      </c>
      <c r="F31" s="23" t="n">
        <f aca="false">F29*F30*1000000</f>
        <v>884000</v>
      </c>
      <c r="G31" s="23" t="n">
        <f aca="false">G29*G30*1000000</f>
        <v>1189000</v>
      </c>
      <c r="H31" s="23" t="n">
        <f aca="false">H29*H30*1000000</f>
        <v>1500000</v>
      </c>
      <c r="I31" s="23" t="n">
        <f aca="false">I29*I30*1000000</f>
        <v>1804000</v>
      </c>
    </row>
    <row r="32" customFormat="false" ht="15" hidden="false" customHeight="true" outlineLevel="0" collapsed="false">
      <c r="A32" s="6" t="s">
        <v>95</v>
      </c>
      <c r="E32" s="20" t="n">
        <v>0.089</v>
      </c>
      <c r="F32" s="20" t="n">
        <v>0.0855</v>
      </c>
      <c r="G32" s="20" t="n">
        <v>0.082</v>
      </c>
      <c r="H32" s="20" t="n">
        <v>0.079</v>
      </c>
      <c r="I32" s="20" t="n">
        <v>0.076</v>
      </c>
    </row>
    <row r="33" customFormat="false" ht="15" hidden="false" customHeight="true" outlineLevel="0" collapsed="false">
      <c r="A33" s="6" t="s">
        <v>96</v>
      </c>
      <c r="E33" s="23" t="n">
        <f aca="false">'Income Statement'!E4*E32</f>
        <v>639076.9145744</v>
      </c>
      <c r="F33" s="23" t="n">
        <f aca="false">'Income Statement'!F4*F32</f>
        <v>882618.940259166</v>
      </c>
      <c r="G33" s="23" t="n">
        <f aca="false">'Income Statement'!G4*G32</f>
        <v>1147666.42340146</v>
      </c>
      <c r="H33" s="23" t="n">
        <f aca="false">'Income Statement'!H4*H32</f>
        <v>1423602.57582978</v>
      </c>
      <c r="I33" s="23" t="n">
        <f aca="false">'Income Statement'!I4*I32</f>
        <v>1698058.17141113</v>
      </c>
    </row>
    <row r="34" customFormat="false" ht="15" hidden="false" customHeight="true" outlineLevel="0" collapsed="false">
      <c r="A34" s="15" t="s">
        <v>97</v>
      </c>
      <c r="B34" s="33" t="n">
        <f aca="false">'Income Statement'!B5</f>
        <v>431105</v>
      </c>
      <c r="C34" s="33" t="n">
        <f aca="false">'Income Statement'!C5</f>
        <v>565990</v>
      </c>
      <c r="D34" s="33" t="n">
        <f aca="false">'Income Statement'!D5</f>
        <v>789177</v>
      </c>
      <c r="E34" s="27" t="n">
        <f aca="false">E31+E33</f>
        <v>1239076.9145744</v>
      </c>
      <c r="F34" s="27" t="n">
        <f aca="false">F31+F33</f>
        <v>1766618.94025917</v>
      </c>
      <c r="G34" s="27" t="n">
        <f aca="false">G31+G33</f>
        <v>2336666.42340146</v>
      </c>
      <c r="H34" s="27" t="n">
        <f aca="false">H31+H33</f>
        <v>2923602.57582978</v>
      </c>
      <c r="I34" s="27" t="n">
        <f aca="false">I31+I33</f>
        <v>3502058.17141113</v>
      </c>
    </row>
    <row r="35" customFormat="false" ht="15" hidden="false" customHeight="true" outlineLevel="0" collapsed="false">
      <c r="A35" s="6" t="s">
        <v>98</v>
      </c>
      <c r="B35" s="17" t="n">
        <f aca="false">1-B34/B24</f>
        <v>0.806245988785678</v>
      </c>
      <c r="C35" s="17" t="n">
        <f aca="false">1-C34/C24</f>
        <v>0.802481724874516</v>
      </c>
      <c r="D35" s="17" t="n">
        <f aca="false">1-D34/D24</f>
        <v>0.823665172141503</v>
      </c>
      <c r="E35" s="17" t="n">
        <f aca="false">1-E34/'Income Statement'!E4</f>
        <v>0.827441982518548</v>
      </c>
      <c r="F35" s="17" t="n">
        <f aca="false">1-F34/'Income Statement'!F4</f>
        <v>0.828866215642498</v>
      </c>
      <c r="G35" s="17" t="n">
        <f aca="false">1-G34/'Income Statement'!G4</f>
        <v>0.833046743538044</v>
      </c>
      <c r="H35" s="17" t="n">
        <f aca="false">1-H34/'Income Statement'!H4</f>
        <v>0.83776047654597</v>
      </c>
      <c r="I35" s="17" t="n">
        <f aca="false">1-I34/'Income Statement'!I4</f>
        <v>0.84325836092761</v>
      </c>
    </row>
    <row r="37" customFormat="false" ht="15" hidden="false" customHeight="true" outlineLevel="0" collapsed="false">
      <c r="A37" s="16" t="s">
        <v>99</v>
      </c>
    </row>
    <row r="38" customFormat="false" ht="15" hidden="false" customHeight="true" outlineLevel="0" collapsed="false">
      <c r="A38" s="16" t="s">
        <v>100</v>
      </c>
    </row>
    <row r="39" customFormat="false" ht="15" hidden="false" customHeight="true" outlineLevel="0" collapsed="false">
      <c r="A39" s="16" t="s">
        <v>101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102</v>
      </c>
    </row>
    <row r="2" customFormat="false" ht="15" hidden="false" customHeight="true" outlineLevel="0" collapsed="false">
      <c r="A2" s="11" t="s">
        <v>103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104</v>
      </c>
      <c r="B4" s="34" t="n">
        <v>1</v>
      </c>
      <c r="C4" s="35" t="str">
        <f aca="false">CHOOSE(B4,"STANDARD CASE","BEST CASE","LOW CASE")</f>
        <v>STANDARD CASE</v>
      </c>
    </row>
    <row r="6" customFormat="false" ht="15" hidden="false" customHeight="true" outlineLevel="0" collapsed="false">
      <c r="A6" s="15" t="s">
        <v>105</v>
      </c>
    </row>
    <row r="7" customFormat="false" ht="15" hidden="false" customHeight="true" outlineLevel="0" collapsed="false">
      <c r="A7" s="6" t="s">
        <v>106</v>
      </c>
      <c r="B7" s="20" t="n">
        <v>0.619</v>
      </c>
      <c r="C7" s="20" t="n">
        <v>0.663</v>
      </c>
      <c r="D7" s="20" t="n">
        <v>0.742</v>
      </c>
      <c r="E7" s="19" t="n">
        <v>0.73</v>
      </c>
      <c r="F7" s="19" t="n">
        <v>0.72</v>
      </c>
      <c r="G7" s="19" t="n">
        <v>0.71</v>
      </c>
      <c r="H7" s="19" t="n">
        <v>0.7</v>
      </c>
      <c r="I7" s="19" t="n">
        <v>0.69</v>
      </c>
    </row>
    <row r="8" customFormat="false" ht="15" hidden="false" customHeight="true" outlineLevel="0" collapsed="false">
      <c r="A8" s="6" t="s">
        <v>107</v>
      </c>
      <c r="B8" s="20" t="n">
        <v>0.27</v>
      </c>
      <c r="C8" s="20" t="n">
        <v>0.235</v>
      </c>
      <c r="D8" s="20" t="n">
        <v>0.18</v>
      </c>
      <c r="E8" s="19" t="n">
        <v>0.185</v>
      </c>
      <c r="F8" s="19" t="n">
        <v>0.19</v>
      </c>
      <c r="G8" s="19" t="n">
        <v>0.195</v>
      </c>
      <c r="H8" s="19" t="n">
        <v>0.2</v>
      </c>
      <c r="I8" s="19" t="n">
        <v>0.205</v>
      </c>
    </row>
    <row r="9" customFormat="false" ht="15" hidden="false" customHeight="true" outlineLevel="0" collapsed="false">
      <c r="A9" s="6" t="s">
        <v>108</v>
      </c>
      <c r="B9" s="20" t="n">
        <v>0.07</v>
      </c>
      <c r="C9" s="20" t="n">
        <v>0.065</v>
      </c>
      <c r="D9" s="20" t="n">
        <v>0.05</v>
      </c>
      <c r="E9" s="19" t="n">
        <v>0.055</v>
      </c>
      <c r="F9" s="19" t="n">
        <v>0.06</v>
      </c>
      <c r="G9" s="19" t="n">
        <v>0.065</v>
      </c>
      <c r="H9" s="19" t="n">
        <v>0.07</v>
      </c>
      <c r="I9" s="19" t="n">
        <v>0.075</v>
      </c>
    </row>
    <row r="10" customFormat="false" ht="15" hidden="false" customHeight="true" outlineLevel="0" collapsed="false">
      <c r="A10" s="6" t="s">
        <v>109</v>
      </c>
      <c r="B10" s="17" t="n">
        <f aca="false">1-B7-B8-B9</f>
        <v>0.041</v>
      </c>
      <c r="C10" s="17" t="n">
        <f aca="false">1-C7-C8-C9</f>
        <v>0.037</v>
      </c>
      <c r="D10" s="17" t="n">
        <f aca="false">1-D7-D8-D9</f>
        <v>0.028</v>
      </c>
      <c r="E10" s="17" t="n">
        <f aca="false">1-E7-E8-E9</f>
        <v>0.03</v>
      </c>
      <c r="F10" s="17" t="n">
        <f aca="false">1-F7-F8-F9</f>
        <v>0.03</v>
      </c>
      <c r="G10" s="17" t="n">
        <f aca="false">1-G7-G8-G9</f>
        <v>0.03</v>
      </c>
      <c r="H10" s="17" t="n">
        <f aca="false">1-H7-H8-H9</f>
        <v>0.03</v>
      </c>
      <c r="I10" s="17" t="n">
        <f aca="false">1-I7-I8-I9</f>
        <v>0.0300000000000001</v>
      </c>
    </row>
    <row r="12" customFormat="false" ht="15" hidden="false" customHeight="true" outlineLevel="0" collapsed="false">
      <c r="A12" s="15" t="s">
        <v>110</v>
      </c>
    </row>
    <row r="13" customFormat="false" ht="15" hidden="false" customHeight="true" outlineLevel="0" collapsed="false">
      <c r="A13" s="6" t="s">
        <v>111</v>
      </c>
      <c r="B13" s="36" t="n">
        <f aca="false">'Revenue Drivers'!B24</f>
        <v>2225012</v>
      </c>
      <c r="C13" s="36" t="n">
        <f aca="false">'Revenue Drivers'!C24</f>
        <v>2865507</v>
      </c>
      <c r="D13" s="36" t="n">
        <f aca="false">'Revenue Drivers'!D24</f>
        <v>4475446</v>
      </c>
      <c r="E13" s="36" t="n">
        <f aca="false">'Revenue Drivers'!E24</f>
        <v>7180639.4896</v>
      </c>
      <c r="F13" s="36" t="n">
        <f aca="false">'Revenue Drivers'!F24</f>
        <v>10323028.5410429</v>
      </c>
      <c r="G13" s="36" t="n">
        <f aca="false">'Revenue Drivers'!G24</f>
        <v>13995931.9927007</v>
      </c>
      <c r="H13" s="36" t="n">
        <f aca="false">'Revenue Drivers'!H24</f>
        <v>18020285.7699972</v>
      </c>
      <c r="I13" s="36" t="n">
        <f aca="false">'Revenue Drivers'!I24</f>
        <v>22342870.6764623</v>
      </c>
    </row>
    <row r="14" customFormat="false" ht="15" hidden="false" customHeight="true" outlineLevel="0" collapsed="false">
      <c r="A14" s="6" t="s">
        <v>112</v>
      </c>
      <c r="B14" s="23" t="n">
        <f aca="false">B13*B7</f>
        <v>1377282.428</v>
      </c>
      <c r="C14" s="23" t="n">
        <f aca="false">C13*C7</f>
        <v>1899831.141</v>
      </c>
      <c r="D14" s="23" t="n">
        <f aca="false">D13*D7</f>
        <v>3320780.932</v>
      </c>
      <c r="E14" s="23" t="n">
        <f aca="false">E13*E7</f>
        <v>5241866.827408</v>
      </c>
      <c r="F14" s="23" t="n">
        <f aca="false">F13*F7</f>
        <v>7432580.54955087</v>
      </c>
      <c r="G14" s="23" t="n">
        <f aca="false">G13*G7</f>
        <v>9937111.71481748</v>
      </c>
      <c r="H14" s="23" t="n">
        <f aca="false">H13*H7</f>
        <v>12614200.038998</v>
      </c>
      <c r="I14" s="23" t="n">
        <f aca="false">I13*I7</f>
        <v>15416580.766759</v>
      </c>
    </row>
    <row r="15" customFormat="false" ht="15" hidden="false" customHeight="true" outlineLevel="0" collapsed="false">
      <c r="A15" s="6" t="s">
        <v>113</v>
      </c>
      <c r="B15" s="23" t="n">
        <f aca="false">B13*B8</f>
        <v>600753.24</v>
      </c>
      <c r="C15" s="23" t="n">
        <f aca="false">C13*C8</f>
        <v>673394.145</v>
      </c>
      <c r="D15" s="23" t="n">
        <f aca="false">D13*D8</f>
        <v>805580.28</v>
      </c>
      <c r="E15" s="23" t="n">
        <f aca="false">E13*E8</f>
        <v>1328418.305576</v>
      </c>
      <c r="F15" s="23" t="n">
        <f aca="false">F13*F8</f>
        <v>1961375.42279815</v>
      </c>
      <c r="G15" s="23" t="n">
        <f aca="false">G13*G8</f>
        <v>2729206.73857663</v>
      </c>
      <c r="H15" s="23" t="n">
        <f aca="false">H13*H8</f>
        <v>3604057.15399944</v>
      </c>
      <c r="I15" s="23" t="n">
        <f aca="false">I13*I8</f>
        <v>4580288.48867476</v>
      </c>
    </row>
    <row r="16" customFormat="false" ht="15" hidden="false" customHeight="true" outlineLevel="0" collapsed="false">
      <c r="A16" s="6" t="s">
        <v>114</v>
      </c>
      <c r="B16" s="23" t="n">
        <f aca="false">B13*B9</f>
        <v>155750.84</v>
      </c>
      <c r="C16" s="23" t="n">
        <f aca="false">C13*C9</f>
        <v>186257.955</v>
      </c>
      <c r="D16" s="23" t="n">
        <f aca="false">D13*D9</f>
        <v>223772.3</v>
      </c>
      <c r="E16" s="23" t="n">
        <f aca="false">E13*E9</f>
        <v>394935.171928</v>
      </c>
      <c r="F16" s="23" t="n">
        <f aca="false">F13*F9</f>
        <v>619381.712462573</v>
      </c>
      <c r="G16" s="23" t="n">
        <f aca="false">G13*G9</f>
        <v>909735.579525544</v>
      </c>
      <c r="H16" s="23" t="n">
        <f aca="false">H13*H9</f>
        <v>1261420.0038998</v>
      </c>
      <c r="I16" s="23" t="n">
        <f aca="false">I13*I9</f>
        <v>1675715.30073467</v>
      </c>
    </row>
    <row r="17" customFormat="false" ht="15" hidden="false" customHeight="true" outlineLevel="0" collapsed="false">
      <c r="A17" s="6" t="s">
        <v>115</v>
      </c>
      <c r="B17" s="23" t="n">
        <f aca="false">B13*B10</f>
        <v>91225.492</v>
      </c>
      <c r="C17" s="23" t="n">
        <f aca="false">C13*C10</f>
        <v>106023.759</v>
      </c>
      <c r="D17" s="23" t="n">
        <f aca="false">D13*D10</f>
        <v>125312.488</v>
      </c>
      <c r="E17" s="23" t="n">
        <f aca="false">E13*E10</f>
        <v>215419.184688</v>
      </c>
      <c r="F17" s="23" t="n">
        <f aca="false">F13*F10</f>
        <v>309690.856231287</v>
      </c>
      <c r="G17" s="23" t="n">
        <f aca="false">G13*G10</f>
        <v>419877.959781021</v>
      </c>
      <c r="H17" s="23" t="n">
        <f aca="false">H13*H10</f>
        <v>540608.573099916</v>
      </c>
      <c r="I17" s="23" t="n">
        <f aca="false">I13*I10</f>
        <v>670286.120293869</v>
      </c>
    </row>
    <row r="18" customFormat="false" ht="15" hidden="false" customHeight="true" outlineLevel="0" collapsed="false">
      <c r="A18" s="15" t="s">
        <v>116</v>
      </c>
      <c r="B18" s="27" t="n">
        <f aca="false">SUM(B14:B17)</f>
        <v>2225012</v>
      </c>
      <c r="C18" s="27" t="n">
        <f aca="false">SUM(C14:C17)</f>
        <v>2865507</v>
      </c>
      <c r="D18" s="27" t="n">
        <f aca="false">SUM(D14:D17)</f>
        <v>4475446</v>
      </c>
      <c r="E18" s="27" t="n">
        <f aca="false">SUM(E14:E17)</f>
        <v>7180639.4896</v>
      </c>
      <c r="F18" s="27" t="n">
        <f aca="false">SUM(F14:F17)</f>
        <v>10323028.5410429</v>
      </c>
      <c r="G18" s="27" t="n">
        <f aca="false">SUM(G14:G17)</f>
        <v>13995931.9927007</v>
      </c>
      <c r="H18" s="27" t="n">
        <f aca="false">SUM(H14:H17)</f>
        <v>18020285.7699972</v>
      </c>
      <c r="I18" s="27" t="n">
        <f aca="false">SUM(I14:I17)</f>
        <v>22342870.6764623</v>
      </c>
    </row>
    <row r="20" customFormat="false" ht="15" hidden="false" customHeight="true" outlineLevel="0" collapsed="false">
      <c r="A20" s="15" t="s">
        <v>117</v>
      </c>
    </row>
    <row r="21" customFormat="false" ht="15" hidden="false" customHeight="true" outlineLevel="0" collapsed="false">
      <c r="A21" s="6" t="s">
        <v>118</v>
      </c>
      <c r="C21" s="17" t="n">
        <f aca="false">C14/B14-1</f>
        <v>0.379405634150732</v>
      </c>
      <c r="D21" s="17" t="n">
        <f aca="false">D14/C14-1</f>
        <v>0.747934782378641</v>
      </c>
      <c r="E21" s="17" t="n">
        <f aca="false">E14/D14-1</f>
        <v>0.578504253892771</v>
      </c>
      <c r="F21" s="17" t="n">
        <f aca="false">F14/E14-1</f>
        <v>0.417926245414773</v>
      </c>
      <c r="G21" s="17" t="n">
        <f aca="false">G14/F14-1</f>
        <v>0.336966568820831</v>
      </c>
      <c r="H21" s="17" t="n">
        <f aca="false">H14/G14-1</f>
        <v>0.269403062077754</v>
      </c>
      <c r="I21" s="17" t="n">
        <f aca="false">I14/H14-1</f>
        <v>0.222160796491026</v>
      </c>
    </row>
    <row r="22" customFormat="false" ht="15" hidden="false" customHeight="true" outlineLevel="0" collapsed="false">
      <c r="A22" s="6" t="s">
        <v>119</v>
      </c>
      <c r="C22" s="17" t="n">
        <f aca="false">C15/B15-1</f>
        <v>0.120916376580841</v>
      </c>
      <c r="D22" s="17" t="n">
        <f aca="false">D15/C15-1</f>
        <v>0.196298313523353</v>
      </c>
      <c r="E22" s="17" t="n">
        <f aca="false">E15/D15-1</f>
        <v>0.649020387609289</v>
      </c>
      <c r="F22" s="17" t="n">
        <f aca="false">F15/E15-1</f>
        <v>0.476474251043761</v>
      </c>
      <c r="G22" s="17" t="n">
        <f aca="false">G15/F15-1</f>
        <v>0.391475954502926</v>
      </c>
      <c r="H22" s="17" t="n">
        <f aca="false">H15/G15-1</f>
        <v>0.320551170806162</v>
      </c>
      <c r="I22" s="17" t="n">
        <f aca="false">I15/H15-1</f>
        <v>0.270870103597552</v>
      </c>
    </row>
    <row r="23" customFormat="false" ht="15" hidden="false" customHeight="true" outlineLevel="0" collapsed="false">
      <c r="A23" s="6" t="s">
        <v>120</v>
      </c>
      <c r="C23" s="17" t="n">
        <f aca="false">C16/B16-1</f>
        <v>0.19587127106345</v>
      </c>
      <c r="D23" s="17" t="n">
        <f aca="false">D16/C16-1</f>
        <v>0.201410699478581</v>
      </c>
      <c r="E23" s="17" t="n">
        <f aca="false">E16/D16-1</f>
        <v>0.76489749592778</v>
      </c>
      <c r="F23" s="17" t="n">
        <f aca="false">F16/E16-1</f>
        <v>0.568312362352703</v>
      </c>
      <c r="G23" s="17" t="n">
        <f aca="false">G16/F16-1</f>
        <v>0.468780174197533</v>
      </c>
      <c r="H23" s="17" t="n">
        <f aca="false">H16/G16-1</f>
        <v>0.38657872934647</v>
      </c>
      <c r="I23" s="17" t="n">
        <f aca="false">I16/H16-1</f>
        <v>0.328435648359811</v>
      </c>
    </row>
    <row r="25" customFormat="false" ht="15" hidden="false" customHeight="true" outlineLevel="0" collapsed="false">
      <c r="A25" s="15" t="s">
        <v>121</v>
      </c>
    </row>
    <row r="26" customFormat="false" ht="15" hidden="false" customHeight="true" outlineLevel="0" collapsed="false">
      <c r="A26" s="6" t="s">
        <v>122</v>
      </c>
      <c r="E26" s="19" t="n">
        <v>0.02</v>
      </c>
      <c r="F26" s="19" t="n">
        <v>0.02</v>
      </c>
      <c r="G26" s="19" t="n">
        <v>0.02</v>
      </c>
      <c r="H26" s="19" t="n">
        <v>0.02</v>
      </c>
      <c r="I26" s="19" t="n">
        <v>0.02</v>
      </c>
    </row>
    <row r="27" customFormat="false" ht="15" hidden="false" customHeight="true" outlineLevel="0" collapsed="false">
      <c r="A27" s="6" t="s">
        <v>123</v>
      </c>
      <c r="E27" s="19" t="n">
        <v>0.06</v>
      </c>
      <c r="F27" s="19" t="n">
        <v>0.06</v>
      </c>
      <c r="G27" s="19" t="n">
        <v>0.06</v>
      </c>
      <c r="H27" s="19" t="n">
        <v>0.06</v>
      </c>
      <c r="I27" s="19" t="n">
        <v>0.06</v>
      </c>
    </row>
    <row r="28" customFormat="false" ht="15" hidden="false" customHeight="true" outlineLevel="0" collapsed="false">
      <c r="A28" s="6" t="s">
        <v>124</v>
      </c>
      <c r="E28" s="19" t="n">
        <v>0.1</v>
      </c>
      <c r="F28" s="19" t="n">
        <v>0.1</v>
      </c>
      <c r="G28" s="19" t="n">
        <v>0.1</v>
      </c>
      <c r="H28" s="19" t="n">
        <v>0.1</v>
      </c>
      <c r="I28" s="19" t="n">
        <v>0.1</v>
      </c>
    </row>
    <row r="29" customFormat="false" ht="15" hidden="false" customHeight="true" outlineLevel="0" collapsed="false">
      <c r="A29" s="6" t="s">
        <v>125</v>
      </c>
      <c r="E29" s="19" t="n">
        <v>-0.04</v>
      </c>
      <c r="F29" s="19" t="n">
        <v>-0.04</v>
      </c>
      <c r="G29" s="19" t="n">
        <v>-0.04</v>
      </c>
      <c r="H29" s="19" t="n">
        <v>-0.04</v>
      </c>
      <c r="I29" s="19" t="n">
        <v>-0.04</v>
      </c>
    </row>
    <row r="30" customFormat="false" ht="15" hidden="false" customHeight="true" outlineLevel="0" collapsed="false">
      <c r="A30" s="6" t="s">
        <v>126</v>
      </c>
      <c r="E30" s="19" t="n">
        <v>-0.07</v>
      </c>
      <c r="F30" s="19" t="n">
        <v>-0.07</v>
      </c>
      <c r="G30" s="19" t="n">
        <v>-0.07</v>
      </c>
      <c r="H30" s="19" t="n">
        <v>-0.07</v>
      </c>
      <c r="I30" s="19" t="n">
        <v>-0.07</v>
      </c>
    </row>
    <row r="31" customFormat="false" ht="15" hidden="false" customHeight="true" outlineLevel="0" collapsed="false">
      <c r="A31" s="6" t="s">
        <v>127</v>
      </c>
      <c r="E31" s="19" t="n">
        <v>-0.1</v>
      </c>
      <c r="F31" s="19" t="n">
        <v>-0.1</v>
      </c>
      <c r="G31" s="19" t="n">
        <v>-0.1</v>
      </c>
      <c r="H31" s="19" t="n">
        <v>-0.1</v>
      </c>
      <c r="I31" s="19" t="n">
        <v>-0.1</v>
      </c>
    </row>
    <row r="33" customFormat="false" ht="15" hidden="false" customHeight="true" outlineLevel="0" collapsed="false">
      <c r="A33" s="15" t="s">
        <v>128</v>
      </c>
    </row>
    <row r="34" customFormat="false" ht="15" hidden="false" customHeight="true" outlineLevel="0" collapsed="false">
      <c r="A34" s="6" t="s">
        <v>129</v>
      </c>
      <c r="B34" s="23" t="n">
        <f aca="false">B14</f>
        <v>1377282.428</v>
      </c>
      <c r="C34" s="23" t="n">
        <f aca="false">C14</f>
        <v>1899831.141</v>
      </c>
      <c r="D34" s="23" t="n">
        <f aca="false">D14</f>
        <v>3320780.932</v>
      </c>
      <c r="E34" s="23" t="n">
        <f aca="false">D34*(1+E21+CHOOSE($B$4,0,E26,E29))</f>
        <v>5241866.827408</v>
      </c>
      <c r="F34" s="23" t="n">
        <f aca="false">E34*(1+F21+CHOOSE($B$4,0,F26,F29))</f>
        <v>7432580.54955087</v>
      </c>
      <c r="G34" s="23" t="n">
        <f aca="false">F34*(1+G21+CHOOSE($B$4,0,G26,G29))</f>
        <v>9937111.71481748</v>
      </c>
      <c r="H34" s="23" t="n">
        <f aca="false">G34*(1+H21+CHOOSE($B$4,0,H26,H29))</f>
        <v>12614200.038998</v>
      </c>
      <c r="I34" s="23" t="n">
        <f aca="false">H34*(1+I21+CHOOSE($B$4,0,I26,I29))</f>
        <v>15416580.766759</v>
      </c>
    </row>
    <row r="35" customFormat="false" ht="15" hidden="false" customHeight="true" outlineLevel="0" collapsed="false">
      <c r="A35" s="6" t="s">
        <v>130</v>
      </c>
      <c r="B35" s="23" t="n">
        <f aca="false">B15</f>
        <v>600753.24</v>
      </c>
      <c r="C35" s="23" t="n">
        <f aca="false">C15</f>
        <v>673394.145</v>
      </c>
      <c r="D35" s="23" t="n">
        <f aca="false">D15</f>
        <v>805580.28</v>
      </c>
      <c r="E35" s="23" t="n">
        <f aca="false">D35*(1+E22+CHOOSE($B$4,0,E27,E30))</f>
        <v>1328418.305576</v>
      </c>
      <c r="F35" s="23" t="n">
        <f aca="false">E35*(1+F22+CHOOSE($B$4,0,F27,F30))</f>
        <v>1961375.42279815</v>
      </c>
      <c r="G35" s="23" t="n">
        <f aca="false">F35*(1+G22+CHOOSE($B$4,0,G27,G30))</f>
        <v>2729206.73857663</v>
      </c>
      <c r="H35" s="23" t="n">
        <f aca="false">G35*(1+H22+CHOOSE($B$4,0,H27,H30))</f>
        <v>3604057.15399944</v>
      </c>
      <c r="I35" s="23" t="n">
        <f aca="false">H35*(1+I22+CHOOSE($B$4,0,I27,I30))</f>
        <v>4580288.48867476</v>
      </c>
    </row>
    <row r="36" customFormat="false" ht="15" hidden="false" customHeight="true" outlineLevel="0" collapsed="false">
      <c r="A36" s="6" t="s">
        <v>131</v>
      </c>
      <c r="B36" s="23" t="n">
        <f aca="false">B16</f>
        <v>155750.84</v>
      </c>
      <c r="C36" s="23" t="n">
        <f aca="false">C16</f>
        <v>186257.955</v>
      </c>
      <c r="D36" s="23" t="n">
        <f aca="false">D16</f>
        <v>223772.3</v>
      </c>
      <c r="E36" s="23" t="n">
        <f aca="false">D36*(1+E23+CHOOSE($B$4,0,E28,E31))</f>
        <v>394935.171928</v>
      </c>
      <c r="F36" s="23" t="n">
        <f aca="false">E36*(1+F23+CHOOSE($B$4,0,F28,F31))</f>
        <v>619381.712462573</v>
      </c>
      <c r="G36" s="23" t="n">
        <f aca="false">F36*(1+G23+CHOOSE($B$4,0,G28,G31))</f>
        <v>909735.579525544</v>
      </c>
      <c r="H36" s="23" t="n">
        <f aca="false">G36*(1+H23+CHOOSE($B$4,0,H28,H31))</f>
        <v>1261420.0038998</v>
      </c>
      <c r="I36" s="23" t="n">
        <f aca="false">H36*(1+I23+CHOOSE($B$4,0,I28,I31))</f>
        <v>1675715.30073467</v>
      </c>
    </row>
    <row r="37" customFormat="false" ht="15" hidden="false" customHeight="true" outlineLevel="0" collapsed="false">
      <c r="A37" s="6" t="s">
        <v>132</v>
      </c>
      <c r="B37" s="23" t="n">
        <f aca="false">B17</f>
        <v>91225.492</v>
      </c>
      <c r="C37" s="23" t="n">
        <f aca="false">C17</f>
        <v>106023.759</v>
      </c>
      <c r="D37" s="23" t="n">
        <f aca="false">D17</f>
        <v>125312.488</v>
      </c>
      <c r="E37" s="23" t="n">
        <f aca="false">E17</f>
        <v>215419.184688</v>
      </c>
      <c r="F37" s="23" t="n">
        <f aca="false">F17</f>
        <v>309690.856231287</v>
      </c>
      <c r="G37" s="23" t="n">
        <f aca="false">G17</f>
        <v>419877.959781021</v>
      </c>
      <c r="H37" s="23" t="n">
        <f aca="false">H17</f>
        <v>540608.573099916</v>
      </c>
      <c r="I37" s="23" t="n">
        <f aca="false">I17</f>
        <v>670286.120293869</v>
      </c>
    </row>
    <row r="38" customFormat="false" ht="15" hidden="false" customHeight="true" outlineLevel="0" collapsed="false">
      <c r="A38" s="15" t="s">
        <v>133</v>
      </c>
      <c r="B38" s="29" t="n">
        <f aca="false">SUM(B34:B37)</f>
        <v>2225012</v>
      </c>
      <c r="C38" s="29" t="n">
        <f aca="false">SUM(C34:C37)</f>
        <v>2865507</v>
      </c>
      <c r="D38" s="29" t="n">
        <f aca="false">SUM(D34:D37)</f>
        <v>4475446</v>
      </c>
      <c r="E38" s="29" t="n">
        <f aca="false">SUM(E34:E37)</f>
        <v>7180639.4896</v>
      </c>
      <c r="F38" s="29" t="n">
        <f aca="false">SUM(F34:F37)</f>
        <v>10323028.5410429</v>
      </c>
      <c r="G38" s="29" t="n">
        <f aca="false">SUM(G34:G37)</f>
        <v>13995931.9927007</v>
      </c>
      <c r="H38" s="29" t="n">
        <f aca="false">SUM(H34:H37)</f>
        <v>18020285.7699972</v>
      </c>
      <c r="I38" s="29" t="n">
        <f aca="false">SUM(I34:I37)</f>
        <v>22342870.6764623</v>
      </c>
    </row>
    <row r="39" customFormat="false" ht="15" hidden="false" customHeight="true" outlineLevel="0" collapsed="false">
      <c r="A39" s="6" t="s">
        <v>134</v>
      </c>
      <c r="C39" s="17" t="n">
        <f aca="false">C38/B38-1</f>
        <v>0.287861368837561</v>
      </c>
      <c r="D39" s="17" t="n">
        <f aca="false">D38/C38-1</f>
        <v>0.561833909322155</v>
      </c>
      <c r="E39" s="17" t="n">
        <f aca="false">E38/D38-1</f>
        <v>0.604452269025255</v>
      </c>
      <c r="F39" s="17" t="n">
        <f aca="false">F38/E38-1</f>
        <v>0.437619665489978</v>
      </c>
      <c r="G39" s="17" t="n">
        <f aca="false">G38/F38-1</f>
        <v>0.355797083874645</v>
      </c>
      <c r="H39" s="17" t="n">
        <f aca="false">H38/G38-1</f>
        <v>0.287537391536008</v>
      </c>
      <c r="I39" s="17" t="n">
        <f aca="false">I38/H38-1</f>
        <v>0.23987327180249</v>
      </c>
    </row>
    <row r="40" customFormat="false" ht="15" hidden="false" customHeight="true" outlineLevel="0" collapsed="false">
      <c r="A40" s="6" t="s">
        <v>135</v>
      </c>
      <c r="B40" s="37" t="n">
        <f aca="false">B38/B18</f>
        <v>1</v>
      </c>
      <c r="C40" s="37" t="n">
        <f aca="false">C38/C18</f>
        <v>1</v>
      </c>
      <c r="D40" s="37" t="n">
        <f aca="false">D38/D18</f>
        <v>1</v>
      </c>
      <c r="E40" s="37" t="n">
        <f aca="false">E38/E18</f>
        <v>1</v>
      </c>
      <c r="F40" s="37" t="n">
        <f aca="false">F38/F18</f>
        <v>1</v>
      </c>
      <c r="G40" s="37" t="n">
        <f aca="false">G38/G18</f>
        <v>1</v>
      </c>
      <c r="H40" s="37" t="n">
        <f aca="false">H38/H18</f>
        <v>1</v>
      </c>
      <c r="I40" s="37" t="n">
        <f aca="false">I38/I18</f>
        <v>1</v>
      </c>
    </row>
    <row r="41" customFormat="false" ht="15" hidden="false" customHeight="true" outlineLevel="0" collapsed="false">
      <c r="A41" s="6" t="s">
        <v>136</v>
      </c>
      <c r="B41" s="23" t="n">
        <f aca="false">B38-B18</f>
        <v>0</v>
      </c>
      <c r="C41" s="23" t="n">
        <f aca="false">C38-C18</f>
        <v>0</v>
      </c>
      <c r="D41" s="23" t="n">
        <f aca="false">D38-D18</f>
        <v>0</v>
      </c>
      <c r="E41" s="23" t="n">
        <f aca="false">E38-E18</f>
        <v>0</v>
      </c>
      <c r="F41" s="23" t="n">
        <f aca="false">F38-F18</f>
        <v>0</v>
      </c>
      <c r="G41" s="23" t="n">
        <f aca="false">G38-G18</f>
        <v>0</v>
      </c>
      <c r="H41" s="23" t="n">
        <f aca="false">H38-H18</f>
        <v>0</v>
      </c>
      <c r="I41" s="23" t="n">
        <f aca="false">I38-I18</f>
        <v>0</v>
      </c>
    </row>
    <row r="43" customFormat="false" ht="15" hidden="false" customHeight="true" outlineLevel="0" collapsed="false">
      <c r="A43" s="15" t="s">
        <v>137</v>
      </c>
    </row>
    <row r="44" customFormat="false" ht="15" hidden="false" customHeight="true" outlineLevel="0" collapsed="false">
      <c r="A44" s="6" t="s">
        <v>138</v>
      </c>
      <c r="B44" s="36" t="n">
        <f aca="false">'Income Statement'!B21</f>
        <v>209825</v>
      </c>
      <c r="C44" s="36" t="n">
        <f aca="false">'Income Statement'!C21</f>
        <v>462190</v>
      </c>
      <c r="D44" s="36" t="n">
        <f aca="false">'Income Statement'!D21</f>
        <v>1625033</v>
      </c>
      <c r="E44" s="36" t="n">
        <f aca="false">'Income Statement'!E21</f>
        <v>2813380.66089472</v>
      </c>
      <c r="F44" s="36" t="n">
        <f aca="false">'Income Statement'!F21</f>
        <v>4107696.11388547</v>
      </c>
      <c r="G44" s="36" t="n">
        <f aca="false">'Income Statement'!G21</f>
        <v>5589141.71840905</v>
      </c>
      <c r="H44" s="36" t="n">
        <f aca="false">'Income Statement'!H21</f>
        <v>7372338.70725007</v>
      </c>
      <c r="I44" s="36" t="n">
        <f aca="false">'Income Statement'!I21</f>
        <v>9439839.63794799</v>
      </c>
    </row>
    <row r="45" customFormat="false" ht="15" hidden="false" customHeight="true" outlineLevel="0" collapsed="false">
      <c r="A45" s="6" t="s">
        <v>139</v>
      </c>
      <c r="B45" s="38" t="n">
        <f aca="false">'Income Statement'!B24</f>
        <v>0.0913105594738214</v>
      </c>
      <c r="C45" s="38" t="n">
        <f aca="false">'Income Statement'!C24</f>
        <v>0.188586014955007</v>
      </c>
      <c r="D45" s="38" t="n">
        <f aca="false">'Income Statement'!D24</f>
        <v>0.633492476406296</v>
      </c>
      <c r="E45" s="38" t="n">
        <f aca="false">'Income Statement'!E24</f>
        <v>1.08054219882248</v>
      </c>
      <c r="F45" s="38" t="n">
        <f aca="false">'Income Statement'!F24</f>
        <v>1.55587100189079</v>
      </c>
      <c r="G45" s="38" t="n">
        <f aca="false">'Income Statement'!G24</f>
        <v>2.08982998318797</v>
      </c>
      <c r="H45" s="38" t="n">
        <f aca="false">'Income Statement'!H24</f>
        <v>2.7238964980681</v>
      </c>
      <c r="I45" s="38" t="n">
        <f aca="false">'Income Statement'!I24</f>
        <v>3.44983864326805</v>
      </c>
    </row>
    <row r="46" customFormat="false" ht="15" hidden="false" customHeight="true" outlineLevel="0" collapsed="false">
      <c r="A46" s="6" t="s">
        <v>140</v>
      </c>
      <c r="B46" s="36" t="n">
        <f aca="false">'Balance Sheet'!B5</f>
        <v>831047</v>
      </c>
      <c r="C46" s="36" t="n">
        <f aca="false">'Balance Sheet'!C5</f>
        <v>2098524</v>
      </c>
      <c r="D46" s="36" t="n">
        <f aca="false">'Balance Sheet'!D5</f>
        <v>1423796</v>
      </c>
      <c r="E46" s="36" t="n">
        <f aca="false">'Balance Sheet'!E5</f>
        <v>4649997.84707096</v>
      </c>
      <c r="F46" s="36" t="n">
        <f aca="false">'Balance Sheet'!F5</f>
        <v>9276214.54315087</v>
      </c>
      <c r="G46" s="36" t="n">
        <f aca="false">'Balance Sheet'!G5</f>
        <v>15467652.9099085</v>
      </c>
      <c r="H46" s="36" t="n">
        <f aca="false">'Balance Sheet'!H5</f>
        <v>23539143.4254082</v>
      </c>
      <c r="I46" s="36" t="n">
        <f aca="false">'Balance Sheet'!I5</f>
        <v>33793587.2423803</v>
      </c>
    </row>
    <row r="47" customFormat="false" ht="15" hidden="false" customHeight="true" outlineLevel="0" collapsed="false">
      <c r="A47" s="6" t="s">
        <v>141</v>
      </c>
      <c r="B47" s="39" t="n">
        <f aca="false">(I38/D38)^0.2-1</f>
        <v>0.379305697270543</v>
      </c>
    </row>
    <row r="49" customFormat="false" ht="15" hidden="false" customHeight="true" outlineLevel="0" collapsed="false">
      <c r="A49" s="15" t="s">
        <v>142</v>
      </c>
    </row>
    <row r="50" customFormat="false" ht="15" hidden="false" customHeight="true" outlineLevel="0" collapsed="false">
      <c r="A50" s="6" t="s">
        <v>143</v>
      </c>
      <c r="B50" s="25" t="n">
        <v>122</v>
      </c>
      <c r="C50" s="25" t="n">
        <v>140</v>
      </c>
      <c r="D50" s="25" t="n">
        <v>174</v>
      </c>
      <c r="E50" s="25" t="n">
        <v>190</v>
      </c>
      <c r="F50" s="25" t="n">
        <v>205</v>
      </c>
      <c r="G50" s="25" t="n">
        <v>220</v>
      </c>
      <c r="H50" s="25" t="n">
        <v>235</v>
      </c>
      <c r="I50" s="25" t="n">
        <v>250</v>
      </c>
    </row>
    <row r="51" customFormat="false" ht="15" hidden="false" customHeight="true" outlineLevel="0" collapsed="false">
      <c r="A51" s="15" t="s">
        <v>144</v>
      </c>
      <c r="B51" s="40" t="n">
        <f aca="false">'Revenue Drivers'!B9+B50</f>
        <v>497</v>
      </c>
      <c r="C51" s="40" t="n">
        <f aca="false">'Revenue Drivers'!C9+C50</f>
        <v>711</v>
      </c>
      <c r="D51" s="40" t="n">
        <f aca="false">'Revenue Drivers'!D9+D50</f>
        <v>954</v>
      </c>
      <c r="E51" s="40" t="n">
        <f aca="false">'Revenue Drivers'!E9+E50</f>
        <v>1219.6</v>
      </c>
      <c r="F51" s="40" t="n">
        <f aca="false">'Revenue Drivers'!F9+F50</f>
        <v>1512.592</v>
      </c>
      <c r="G51" s="40" t="n">
        <f aca="false">'Revenue Drivers'!G9+G50</f>
        <v>1828.33816</v>
      </c>
      <c r="H51" s="40" t="n">
        <f aca="false">'Revenue Drivers'!H9+H50</f>
        <v>2148.9224104</v>
      </c>
      <c r="I51" s="40" t="n">
        <f aca="false">'Revenue Drivers'!I9+I50</f>
        <v>2470.149996064</v>
      </c>
    </row>
    <row r="52" customFormat="false" ht="15" hidden="false" customHeight="true" outlineLevel="0" collapsed="false">
      <c r="A52" s="6" t="s">
        <v>145</v>
      </c>
      <c r="B52" s="20" t="n">
        <v>0.72</v>
      </c>
      <c r="C52" s="20" t="n">
        <v>0.72</v>
      </c>
      <c r="D52" s="20" t="n">
        <v>0.73</v>
      </c>
      <c r="E52" s="20" t="n">
        <v>0.71</v>
      </c>
      <c r="F52" s="20" t="n">
        <v>0.7</v>
      </c>
      <c r="G52" s="20" t="n">
        <v>0.69</v>
      </c>
      <c r="H52" s="20" t="n">
        <v>0.68</v>
      </c>
      <c r="I52" s="20" t="n">
        <v>0.67</v>
      </c>
    </row>
    <row r="53" customFormat="false" ht="15" hidden="false" customHeight="true" outlineLevel="0" collapsed="false">
      <c r="A53" s="6" t="s">
        <v>146</v>
      </c>
      <c r="B53" s="20" t="n">
        <v>0.17</v>
      </c>
      <c r="C53" s="20" t="n">
        <v>0.17</v>
      </c>
      <c r="D53" s="20" t="n">
        <v>0.16</v>
      </c>
      <c r="E53" s="20" t="n">
        <v>0.17</v>
      </c>
      <c r="F53" s="20" t="n">
        <v>0.175</v>
      </c>
      <c r="G53" s="20" t="n">
        <v>0.18</v>
      </c>
      <c r="H53" s="20" t="n">
        <v>0.185</v>
      </c>
      <c r="I53" s="20" t="n">
        <v>0.19</v>
      </c>
    </row>
    <row r="54" customFormat="false" ht="15" hidden="false" customHeight="true" outlineLevel="0" collapsed="false">
      <c r="A54" s="6" t="s">
        <v>147</v>
      </c>
      <c r="B54" s="20" t="n">
        <v>0.06</v>
      </c>
      <c r="C54" s="20" t="n">
        <v>0.06</v>
      </c>
      <c r="D54" s="20" t="n">
        <v>0.06</v>
      </c>
      <c r="E54" s="20" t="n">
        <v>0.07</v>
      </c>
      <c r="F54" s="20" t="n">
        <v>0.075</v>
      </c>
      <c r="G54" s="20" t="n">
        <v>0.08</v>
      </c>
      <c r="H54" s="20" t="n">
        <v>0.085</v>
      </c>
      <c r="I54" s="20" t="n">
        <v>0.09</v>
      </c>
    </row>
    <row r="55" customFormat="false" ht="15" hidden="false" customHeight="true" outlineLevel="0" collapsed="false">
      <c r="A55" s="6" t="s">
        <v>148</v>
      </c>
      <c r="B55" s="17" t="n">
        <f aca="false">1-B52-B53-B54</f>
        <v>0.05</v>
      </c>
      <c r="C55" s="17" t="n">
        <f aca="false">1-C52-C53-C54</f>
        <v>0.05</v>
      </c>
      <c r="D55" s="17" t="n">
        <f aca="false">1-D52-D53-D54</f>
        <v>0.05</v>
      </c>
      <c r="E55" s="17" t="n">
        <f aca="false">1-E52-E53-E54</f>
        <v>0.05</v>
      </c>
      <c r="F55" s="17" t="n">
        <f aca="false">1-F52-F53-F54</f>
        <v>0.0500000000000001</v>
      </c>
      <c r="G55" s="17" t="n">
        <f aca="false">1-G52-G53-G54</f>
        <v>0.0500000000000001</v>
      </c>
      <c r="H55" s="17" t="n">
        <f aca="false">1-H52-H53-H54</f>
        <v>0.05</v>
      </c>
      <c r="I55" s="17" t="n">
        <f aca="false">1-I52-I53-I54</f>
        <v>0.05</v>
      </c>
    </row>
    <row r="56" customFormat="false" ht="15" hidden="false" customHeight="true" outlineLevel="0" collapsed="false">
      <c r="A56" s="6" t="s">
        <v>149</v>
      </c>
      <c r="B56" s="26" t="n">
        <f aca="false">B51*B52</f>
        <v>357.84</v>
      </c>
      <c r="C56" s="26" t="n">
        <f aca="false">C51*C52</f>
        <v>511.92</v>
      </c>
      <c r="D56" s="26" t="n">
        <f aca="false">D51*D52</f>
        <v>696.42</v>
      </c>
      <c r="E56" s="26" t="n">
        <f aca="false">E51*E52</f>
        <v>865.916</v>
      </c>
      <c r="F56" s="26" t="n">
        <f aca="false">F51*F52</f>
        <v>1058.8144</v>
      </c>
      <c r="G56" s="26" t="n">
        <f aca="false">G51*G52</f>
        <v>1261.5533304</v>
      </c>
      <c r="H56" s="26" t="n">
        <f aca="false">H51*H52</f>
        <v>1461.267239072</v>
      </c>
      <c r="I56" s="26" t="n">
        <f aca="false">I51*I52</f>
        <v>1655.00049736288</v>
      </c>
    </row>
    <row r="57" customFormat="false" ht="15" hidden="false" customHeight="true" outlineLevel="0" collapsed="false">
      <c r="A57" s="6" t="s">
        <v>150</v>
      </c>
      <c r="B57" s="26" t="n">
        <f aca="false">B51*B53</f>
        <v>84.49</v>
      </c>
      <c r="C57" s="26" t="n">
        <f aca="false">C51*C53</f>
        <v>120.87</v>
      </c>
      <c r="D57" s="26" t="n">
        <f aca="false">D51*D53</f>
        <v>152.64</v>
      </c>
      <c r="E57" s="26" t="n">
        <f aca="false">E51*E53</f>
        <v>207.332</v>
      </c>
      <c r="F57" s="26" t="n">
        <f aca="false">F51*F53</f>
        <v>264.7036</v>
      </c>
      <c r="G57" s="26" t="n">
        <f aca="false">G51*G53</f>
        <v>329.1008688</v>
      </c>
      <c r="H57" s="26" t="n">
        <f aca="false">H51*H53</f>
        <v>397.550645924</v>
      </c>
      <c r="I57" s="26" t="n">
        <f aca="false">I51*I53</f>
        <v>469.32849925216</v>
      </c>
    </row>
    <row r="58" customFormat="false" ht="15" hidden="false" customHeight="true" outlineLevel="0" collapsed="false">
      <c r="A58" s="6" t="s">
        <v>151</v>
      </c>
      <c r="B58" s="26" t="n">
        <f aca="false">B51*B54</f>
        <v>29.82</v>
      </c>
      <c r="C58" s="26" t="n">
        <f aca="false">C51*C54</f>
        <v>42.66</v>
      </c>
      <c r="D58" s="26" t="n">
        <f aca="false">D51*D54</f>
        <v>57.24</v>
      </c>
      <c r="E58" s="26" t="n">
        <f aca="false">E51*E54</f>
        <v>85.372</v>
      </c>
      <c r="F58" s="26" t="n">
        <f aca="false">F51*F54</f>
        <v>113.4444</v>
      </c>
      <c r="G58" s="26" t="n">
        <f aca="false">G51*G54</f>
        <v>146.2670528</v>
      </c>
      <c r="H58" s="26" t="n">
        <f aca="false">H51*H54</f>
        <v>182.658404884</v>
      </c>
      <c r="I58" s="26" t="n">
        <f aca="false">I51*I54</f>
        <v>222.31349964576</v>
      </c>
    </row>
    <row r="59" customFormat="false" ht="15" hidden="false" customHeight="true" outlineLevel="0" collapsed="false">
      <c r="A59" s="6" t="s">
        <v>152</v>
      </c>
      <c r="B59" s="26" t="n">
        <f aca="false">B51*B55</f>
        <v>24.85</v>
      </c>
      <c r="C59" s="26" t="n">
        <f aca="false">C51*C55</f>
        <v>35.55</v>
      </c>
      <c r="D59" s="26" t="n">
        <f aca="false">D51*D55</f>
        <v>47.7</v>
      </c>
      <c r="E59" s="26" t="n">
        <f aca="false">E51*E55</f>
        <v>60.98</v>
      </c>
      <c r="F59" s="26" t="n">
        <f aca="false">F51*F55</f>
        <v>75.6296000000001</v>
      </c>
      <c r="G59" s="26" t="n">
        <f aca="false">G51*G55</f>
        <v>91.4169080000001</v>
      </c>
      <c r="H59" s="26" t="n">
        <f aca="false">H51*H55</f>
        <v>107.44612052</v>
      </c>
      <c r="I59" s="26" t="n">
        <f aca="false">I51*I55</f>
        <v>123.5074998032</v>
      </c>
    </row>
    <row r="61" customFormat="false" ht="15" hidden="false" customHeight="true" outlineLevel="0" collapsed="false">
      <c r="A61" s="16" t="s">
        <v>153</v>
      </c>
      <c r="B61" s="30" t="n">
        <f aca="false">B18-B13</f>
        <v>0</v>
      </c>
      <c r="C61" s="30" t="n">
        <f aca="false">C18-C13</f>
        <v>0</v>
      </c>
      <c r="D61" s="30" t="n">
        <f aca="false">D18-D13</f>
        <v>0</v>
      </c>
      <c r="E61" s="30" t="n">
        <f aca="false">E18-E13</f>
        <v>0</v>
      </c>
      <c r="F61" s="30" t="n">
        <f aca="false">F18-F13</f>
        <v>0</v>
      </c>
      <c r="G61" s="30" t="n">
        <f aca="false">G18-G13</f>
        <v>0</v>
      </c>
      <c r="H61" s="30" t="n">
        <f aca="false">H18-H13</f>
        <v>0</v>
      </c>
      <c r="I61" s="30" t="n">
        <f aca="false">I18-I13</f>
        <v>0</v>
      </c>
    </row>
    <row r="62" customFormat="false" ht="15" hidden="false" customHeight="true" outlineLevel="0" collapsed="false">
      <c r="A62" s="16" t="s">
        <v>154</v>
      </c>
      <c r="B62" s="30" t="n">
        <f aca="false">B38-'Income Statement'!B4</f>
        <v>0</v>
      </c>
      <c r="C62" s="30" t="n">
        <f aca="false">C38-'Income Statement'!C4</f>
        <v>0</v>
      </c>
      <c r="D62" s="30" t="n">
        <f aca="false">D38-'Income Statement'!D4</f>
        <v>0</v>
      </c>
      <c r="E62" s="30" t="n">
        <f aca="false">E38-'Income Statement'!E4</f>
        <v>0</v>
      </c>
      <c r="F62" s="30" t="n">
        <f aca="false">F38-'Income Statement'!F4</f>
        <v>0</v>
      </c>
      <c r="G62" s="30" t="n">
        <f aca="false">G38-'Income Statement'!G4</f>
        <v>0</v>
      </c>
      <c r="H62" s="30" t="n">
        <f aca="false">H38-'Income Statement'!H4</f>
        <v>0</v>
      </c>
      <c r="I62" s="30" t="n">
        <f aca="false">I38-'Income Statement'!I4</f>
        <v>0</v>
      </c>
    </row>
    <row r="64" customFormat="false" ht="15" hidden="false" customHeight="true" outlineLevel="0" collapsed="false">
      <c r="A64" s="16" t="s">
        <v>155</v>
      </c>
    </row>
    <row r="65" customFormat="false" ht="15" hidden="false" customHeight="true" outlineLevel="0" collapsed="false">
      <c r="A65" s="16" t="s">
        <v>156</v>
      </c>
    </row>
    <row r="66" customFormat="false" ht="15" hidden="false" customHeight="true" outlineLevel="0" collapsed="false">
      <c r="A66" s="16" t="s">
        <v>157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158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6" t="s">
        <v>159</v>
      </c>
      <c r="B4" s="24" t="n">
        <v>2225012</v>
      </c>
      <c r="C4" s="24" t="n">
        <v>2865507</v>
      </c>
      <c r="D4" s="24" t="n">
        <v>4475446</v>
      </c>
      <c r="E4" s="36" t="n">
        <f aca="false">'Regional Breakdown'!E38</f>
        <v>7180639.4896</v>
      </c>
      <c r="F4" s="36" t="n">
        <f aca="false">'Regional Breakdown'!F38</f>
        <v>10323028.5410429</v>
      </c>
      <c r="G4" s="36" t="n">
        <f aca="false">'Regional Breakdown'!G38</f>
        <v>13995931.9927007</v>
      </c>
      <c r="H4" s="36" t="n">
        <f aca="false">'Regional Breakdown'!H38</f>
        <v>18020285.7699972</v>
      </c>
      <c r="I4" s="36" t="n">
        <f aca="false">'Regional Breakdown'!I38</f>
        <v>22342870.6764623</v>
      </c>
      <c r="K4" s="18" t="s">
        <v>160</v>
      </c>
    </row>
    <row r="5" customFormat="false" ht="15" hidden="false" customHeight="true" outlineLevel="0" collapsed="false">
      <c r="A5" s="6" t="s">
        <v>161</v>
      </c>
      <c r="B5" s="24" t="n">
        <v>431105</v>
      </c>
      <c r="C5" s="24" t="n">
        <v>565990</v>
      </c>
      <c r="D5" s="24" t="n">
        <v>789177</v>
      </c>
      <c r="E5" s="36" t="n">
        <f aca="false">'Revenue Drivers'!E34</f>
        <v>1239076.9145744</v>
      </c>
      <c r="F5" s="36" t="n">
        <f aca="false">'Revenue Drivers'!F34</f>
        <v>1766618.94025917</v>
      </c>
      <c r="G5" s="36" t="n">
        <f aca="false">'Revenue Drivers'!G34</f>
        <v>2336666.42340146</v>
      </c>
      <c r="H5" s="36" t="n">
        <f aca="false">'Revenue Drivers'!H34</f>
        <v>2923602.57582978</v>
      </c>
      <c r="I5" s="36" t="n">
        <f aca="false">'Revenue Drivers'!I34</f>
        <v>3502058.17141113</v>
      </c>
    </row>
    <row r="6" customFormat="false" ht="15" hidden="false" customHeight="true" outlineLevel="0" collapsed="false">
      <c r="A6" s="15" t="s">
        <v>162</v>
      </c>
      <c r="B6" s="27" t="n">
        <f aca="false">B4-B5</f>
        <v>1793907</v>
      </c>
      <c r="C6" s="27" t="n">
        <f aca="false">C4-C5</f>
        <v>2299517</v>
      </c>
      <c r="D6" s="27" t="n">
        <f aca="false">D4-D5</f>
        <v>3686269</v>
      </c>
      <c r="E6" s="27" t="n">
        <f aca="false">E4-E5</f>
        <v>5941562.5750256</v>
      </c>
      <c r="F6" s="27" t="n">
        <f aca="false">F4-F5</f>
        <v>8556409.60078371</v>
      </c>
      <c r="G6" s="27" t="n">
        <f aca="false">G4-G5</f>
        <v>11659265.5692992</v>
      </c>
      <c r="H6" s="27" t="n">
        <f aca="false">H4-H5</f>
        <v>15096683.1941674</v>
      </c>
      <c r="I6" s="27" t="n">
        <f aca="false">I4-I5</f>
        <v>18840812.5050511</v>
      </c>
    </row>
    <row r="8" customFormat="false" ht="15" hidden="false" customHeight="true" outlineLevel="0" collapsed="false">
      <c r="A8" s="15" t="s">
        <v>163</v>
      </c>
    </row>
    <row r="9" customFormat="false" ht="15" hidden="false" customHeight="true" outlineLevel="0" collapsed="false">
      <c r="A9" s="6" t="s">
        <v>164</v>
      </c>
      <c r="B9" s="24" t="n">
        <v>744992</v>
      </c>
      <c r="C9" s="24" t="n">
        <v>887755</v>
      </c>
      <c r="D9" s="24" t="n">
        <v>1056859</v>
      </c>
      <c r="E9" s="23" t="n">
        <f aca="false">E4*Assumptions!E7</f>
        <v>1507934.292816</v>
      </c>
      <c r="F9" s="23" t="n">
        <f aca="false">F4*Assumptions!F7</f>
        <v>1961375.42279815</v>
      </c>
      <c r="G9" s="23" t="n">
        <f aca="false">G4*Assumptions!G7</f>
        <v>2449288.09872262</v>
      </c>
      <c r="H9" s="23" t="n">
        <f aca="false">H4*Assumptions!H7</f>
        <v>2937306.58050954</v>
      </c>
      <c r="I9" s="23" t="n">
        <f aca="false">I4*Assumptions!I7</f>
        <v>3396116.34282226</v>
      </c>
    </row>
    <row r="10" customFormat="false" ht="15" hidden="false" customHeight="true" outlineLevel="0" collapsed="false">
      <c r="A10" s="6" t="s">
        <v>165</v>
      </c>
      <c r="B10" s="24" t="n">
        <v>404624</v>
      </c>
      <c r="C10" s="24" t="n">
        <v>507878</v>
      </c>
      <c r="D10" s="24" t="n">
        <v>557677</v>
      </c>
      <c r="E10" s="23" t="n">
        <f aca="false">E4*Assumptions!E8</f>
        <v>861676.738752</v>
      </c>
      <c r="F10" s="23" t="n">
        <f aca="false">F4*Assumptions!F8</f>
        <v>1187148.28221993</v>
      </c>
      <c r="G10" s="23" t="n">
        <f aca="false">G4*Assumptions!G8</f>
        <v>1567544.38318248</v>
      </c>
      <c r="H10" s="23" t="n">
        <f aca="false">H4*Assumptions!H8</f>
        <v>1964211.14892969</v>
      </c>
      <c r="I10" s="23" t="n">
        <f aca="false">I4*Assumptions!I8</f>
        <v>2368344.291705</v>
      </c>
    </row>
    <row r="11" customFormat="false" ht="15" hidden="false" customHeight="true" outlineLevel="0" collapsed="false">
      <c r="A11" s="6" t="s">
        <v>166</v>
      </c>
      <c r="B11" s="24" t="n">
        <v>524325</v>
      </c>
      <c r="C11" s="24" t="n">
        <v>593481</v>
      </c>
      <c r="D11" s="24" t="n">
        <v>657718</v>
      </c>
      <c r="E11" s="23" t="n">
        <f aca="false">E4*Assumptions!E9</f>
        <v>897579.9362</v>
      </c>
      <c r="F11" s="23" t="n">
        <f aca="false">F4*Assumptions!F9</f>
        <v>1156179.1965968</v>
      </c>
      <c r="G11" s="23" t="n">
        <f aca="false">G4*Assumptions!G9</f>
        <v>1427585.06325547</v>
      </c>
      <c r="H11" s="23" t="n">
        <f aca="false">H4*Assumptions!H9</f>
        <v>1711927.14814973</v>
      </c>
      <c r="I11" s="23" t="n">
        <f aca="false">I4*Assumptions!I9</f>
        <v>1988515.49020514</v>
      </c>
    </row>
    <row r="12" customFormat="false" ht="15" hidden="false" customHeight="true" outlineLevel="0" collapsed="false">
      <c r="A12" s="15" t="s">
        <v>167</v>
      </c>
      <c r="B12" s="27" t="n">
        <f aca="false">SUM(B9:B11)</f>
        <v>1673941</v>
      </c>
      <c r="C12" s="27" t="n">
        <f aca="false">SUM(C9:C11)</f>
        <v>1989114</v>
      </c>
      <c r="D12" s="27" t="n">
        <f aca="false">SUM(D9:D11)</f>
        <v>2272254</v>
      </c>
      <c r="E12" s="27" t="n">
        <f aca="false">SUM(E9:E11)</f>
        <v>3267190.967768</v>
      </c>
      <c r="F12" s="27" t="n">
        <f aca="false">SUM(F9:F11)</f>
        <v>4304702.90161488</v>
      </c>
      <c r="G12" s="27" t="n">
        <f aca="false">SUM(G9:G11)</f>
        <v>5444417.54516056</v>
      </c>
      <c r="H12" s="27" t="n">
        <f aca="false">SUM(H9:H11)</f>
        <v>6613444.87758897</v>
      </c>
      <c r="I12" s="27" t="n">
        <f aca="false">SUM(I9:I11)</f>
        <v>7752976.1247324</v>
      </c>
    </row>
    <row r="13" customFormat="false" ht="15" hidden="false" customHeight="true" outlineLevel="0" collapsed="false">
      <c r="A13" s="15" t="s">
        <v>168</v>
      </c>
      <c r="B13" s="35" t="n">
        <f aca="false">B6-B12</f>
        <v>119966</v>
      </c>
      <c r="C13" s="35" t="n">
        <f aca="false">C6-C12</f>
        <v>310403</v>
      </c>
      <c r="D13" s="35" t="n">
        <f aca="false">D6-D12</f>
        <v>1414015</v>
      </c>
      <c r="E13" s="35" t="n">
        <f aca="false">E6-E12</f>
        <v>2674371.6072576</v>
      </c>
      <c r="F13" s="35" t="n">
        <f aca="false">F6-F12</f>
        <v>4251706.69916883</v>
      </c>
      <c r="G13" s="35" t="n">
        <f aca="false">G6-G12</f>
        <v>6214848.02413866</v>
      </c>
      <c r="H13" s="35" t="n">
        <f aca="false">H6-H12</f>
        <v>8483238.31657844</v>
      </c>
      <c r="I13" s="35" t="n">
        <f aca="false">I6-I12</f>
        <v>11087836.3803187</v>
      </c>
    </row>
    <row r="15" customFormat="false" ht="15" hidden="false" customHeight="true" outlineLevel="0" collapsed="false">
      <c r="A15" s="6" t="s">
        <v>169</v>
      </c>
      <c r="B15" s="24" t="n">
        <v>132572</v>
      </c>
      <c r="C15" s="24" t="n">
        <v>196792</v>
      </c>
      <c r="D15" s="24" t="n">
        <v>229181</v>
      </c>
      <c r="E15" s="23" t="n">
        <f aca="false">('Balance Sheet'!D5+'Balance Sheet'!D6)*Assumptions!E13</f>
        <v>287081.72</v>
      </c>
      <c r="F15" s="23" t="n">
        <f aca="false">('Balance Sheet'!E5+'Balance Sheet'!E6)*Assumptions!F13</f>
        <v>416129.793882838</v>
      </c>
      <c r="G15" s="23" t="n">
        <f aca="false">('Balance Sheet'!F5+'Balance Sheet'!F6)*Assumptions!G13</f>
        <v>601178.461726035</v>
      </c>
      <c r="H15" s="23" t="n">
        <f aca="false">('Balance Sheet'!G5+'Balance Sheet'!G6)*Assumptions!H13</f>
        <v>848835.996396341</v>
      </c>
      <c r="I15" s="23" t="n">
        <f aca="false">('Balance Sheet'!H5+'Balance Sheet'!H6)*Assumptions!I13</f>
        <v>1171695.61701633</v>
      </c>
    </row>
    <row r="16" customFormat="false" ht="15" hidden="false" customHeight="true" outlineLevel="0" collapsed="false">
      <c r="A16" s="6" t="s">
        <v>170</v>
      </c>
      <c r="B16" s="24" t="n">
        <v>-15447</v>
      </c>
      <c r="C16" s="24" t="n">
        <v>-18022</v>
      </c>
      <c r="D16" s="24" t="n">
        <v>14172</v>
      </c>
      <c r="E16" s="24" t="n">
        <v>0</v>
      </c>
      <c r="F16" s="24" t="n">
        <v>0</v>
      </c>
      <c r="G16" s="24" t="n">
        <v>0</v>
      </c>
      <c r="H16" s="24" t="n">
        <v>0</v>
      </c>
      <c r="I16" s="24" t="n">
        <v>0</v>
      </c>
    </row>
    <row r="17" customFormat="false" ht="15" hidden="false" customHeight="true" outlineLevel="0" collapsed="false">
      <c r="A17" s="15" t="s">
        <v>171</v>
      </c>
      <c r="B17" s="27" t="n">
        <f aca="false">B13+B15+B16</f>
        <v>237091</v>
      </c>
      <c r="C17" s="27" t="n">
        <f aca="false">C13+C15+C16</f>
        <v>489173</v>
      </c>
      <c r="D17" s="27" t="n">
        <f aca="false">D13+D15+D16</f>
        <v>1657368</v>
      </c>
      <c r="E17" s="27" t="n">
        <f aca="false">E13+E15+E16</f>
        <v>2961453.3272576</v>
      </c>
      <c r="F17" s="27" t="n">
        <f aca="false">F13+F15+F16</f>
        <v>4667836.49305167</v>
      </c>
      <c r="G17" s="27" t="n">
        <f aca="false">G13+G15+G16</f>
        <v>6816026.48586469</v>
      </c>
      <c r="H17" s="27" t="n">
        <f aca="false">H13+H15+H16</f>
        <v>9332074.31297478</v>
      </c>
      <c r="I17" s="27" t="n">
        <f aca="false">I13+I15+I16</f>
        <v>12259531.9973351</v>
      </c>
    </row>
    <row r="18" customFormat="false" ht="15" hidden="false" customHeight="true" outlineLevel="0" collapsed="false">
      <c r="A18" s="6" t="s">
        <v>172</v>
      </c>
      <c r="B18" s="24" t="n">
        <v>19716</v>
      </c>
      <c r="C18" s="24" t="n">
        <v>21255</v>
      </c>
      <c r="D18" s="24" t="n">
        <v>22724</v>
      </c>
      <c r="E18" s="23" t="n">
        <f aca="false">E17*Assumptions!E12</f>
        <v>148072.66636288</v>
      </c>
      <c r="F18" s="23" t="n">
        <f aca="false">F17*Assumptions!F12</f>
        <v>560140.379166201</v>
      </c>
      <c r="G18" s="23" t="n">
        <f aca="false">G17*Assumptions!G12</f>
        <v>1226884.76745564</v>
      </c>
      <c r="H18" s="23" t="n">
        <f aca="false">H17*Assumptions!H12</f>
        <v>1959735.6057247</v>
      </c>
      <c r="I18" s="23" t="n">
        <f aca="false">I17*Assumptions!I12</f>
        <v>2819692.35938706</v>
      </c>
    </row>
    <row r="19" customFormat="false" ht="15" hidden="false" customHeight="true" outlineLevel="0" collapsed="false">
      <c r="A19" s="15" t="s">
        <v>173</v>
      </c>
      <c r="B19" s="27" t="n">
        <f aca="false">B17-B18</f>
        <v>217375</v>
      </c>
      <c r="C19" s="27" t="n">
        <f aca="false">C17-C18</f>
        <v>467918</v>
      </c>
      <c r="D19" s="27" t="n">
        <f aca="false">D17-D18</f>
        <v>1634644</v>
      </c>
      <c r="E19" s="27" t="n">
        <f aca="false">E17-E18</f>
        <v>2813380.66089472</v>
      </c>
      <c r="F19" s="27" t="n">
        <f aca="false">F17-F18</f>
        <v>4107696.11388547</v>
      </c>
      <c r="G19" s="27" t="n">
        <f aca="false">G17-G18</f>
        <v>5589141.71840905</v>
      </c>
      <c r="H19" s="27" t="n">
        <f aca="false">H17-H18</f>
        <v>7372338.70725007</v>
      </c>
      <c r="I19" s="27" t="n">
        <f aca="false">I17-I18</f>
        <v>9439839.63794799</v>
      </c>
    </row>
    <row r="20" customFormat="false" ht="15" hidden="false" customHeight="true" outlineLevel="0" collapsed="false">
      <c r="A20" s="6" t="s">
        <v>174</v>
      </c>
      <c r="B20" s="24" t="n">
        <v>7550</v>
      </c>
      <c r="C20" s="24" t="n">
        <v>5728</v>
      </c>
      <c r="D20" s="24" t="n">
        <v>9611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</row>
    <row r="21" customFormat="false" ht="15" hidden="false" customHeight="true" outlineLevel="0" collapsed="false">
      <c r="A21" s="15" t="s">
        <v>175</v>
      </c>
      <c r="B21" s="29" t="n">
        <f aca="false">B19-B20</f>
        <v>209825</v>
      </c>
      <c r="C21" s="29" t="n">
        <f aca="false">C19-C20</f>
        <v>462190</v>
      </c>
      <c r="D21" s="29" t="n">
        <f aca="false">D19-D20</f>
        <v>1625033</v>
      </c>
      <c r="E21" s="29" t="n">
        <f aca="false">E19-E20</f>
        <v>2813380.66089472</v>
      </c>
      <c r="F21" s="29" t="n">
        <f aca="false">F19-F20</f>
        <v>4107696.11388547</v>
      </c>
      <c r="G21" s="29" t="n">
        <f aca="false">G19-G20</f>
        <v>5589141.71840905</v>
      </c>
      <c r="H21" s="29" t="n">
        <f aca="false">H19-H20</f>
        <v>7372338.70725007</v>
      </c>
      <c r="I21" s="29" t="n">
        <f aca="false">I19-I20</f>
        <v>9439839.63794799</v>
      </c>
    </row>
    <row r="23" customFormat="false" ht="15" hidden="false" customHeight="true" outlineLevel="0" collapsed="false">
      <c r="A23" s="6" t="s">
        <v>176</v>
      </c>
      <c r="B23" s="24" t="n">
        <v>2297927</v>
      </c>
      <c r="C23" s="24" t="n">
        <v>2450818</v>
      </c>
      <c r="D23" s="24" t="n">
        <v>2565197</v>
      </c>
      <c r="E23" s="23" t="n">
        <f aca="false">D23*(1+Assumptions!E14)</f>
        <v>2603674.955</v>
      </c>
      <c r="F23" s="23" t="n">
        <f aca="false">E23*(1+Assumptions!F14)</f>
        <v>2640126.40437</v>
      </c>
      <c r="G23" s="23" t="n">
        <f aca="false">F23*(1+Assumptions!G14)</f>
        <v>2674448.04762681</v>
      </c>
      <c r="H23" s="23" t="n">
        <f aca="false">G23*(1+Assumptions!H14)</f>
        <v>2706541.42419833</v>
      </c>
      <c r="I23" s="23" t="n">
        <f aca="false">H23*(1+Assumptions!I14)</f>
        <v>2736313.37986451</v>
      </c>
    </row>
    <row r="24" customFormat="false" ht="15" hidden="false" customHeight="true" outlineLevel="0" collapsed="false">
      <c r="A24" s="15" t="s">
        <v>177</v>
      </c>
      <c r="B24" s="41" t="n">
        <f aca="false">B21/B23</f>
        <v>0.0913105594738214</v>
      </c>
      <c r="C24" s="41" t="n">
        <f aca="false">C21/C23</f>
        <v>0.188586014955007</v>
      </c>
      <c r="D24" s="41" t="n">
        <f aca="false">D21/D23</f>
        <v>0.633492476406296</v>
      </c>
      <c r="E24" s="41" t="n">
        <f aca="false">E21/E23</f>
        <v>1.08054219882248</v>
      </c>
      <c r="F24" s="41" t="n">
        <f aca="false">F21/F23</f>
        <v>1.55587100189079</v>
      </c>
      <c r="G24" s="41" t="n">
        <f aca="false">G21/G23</f>
        <v>2.08982998318797</v>
      </c>
      <c r="H24" s="41" t="n">
        <f aca="false">H21/H23</f>
        <v>2.7238964980681</v>
      </c>
      <c r="I24" s="41" t="n">
        <f aca="false">I21/I23</f>
        <v>3.44983864326805</v>
      </c>
    </row>
    <row r="26" customFormat="false" ht="15" hidden="false" customHeight="true" outlineLevel="0" collapsed="false">
      <c r="A26" s="16" t="s">
        <v>178</v>
      </c>
      <c r="B26" s="24" t="n">
        <v>475903</v>
      </c>
      <c r="C26" s="24" t="n">
        <v>691638</v>
      </c>
      <c r="D26" s="24" t="n">
        <v>684033</v>
      </c>
      <c r="E26" s="23" t="n">
        <f aca="false">E4*Assumptions!E10</f>
        <v>933483.133648</v>
      </c>
      <c r="F26" s="23" t="n">
        <f aca="false">F4*Assumptions!F10</f>
        <v>1187148.28221993</v>
      </c>
      <c r="G26" s="23" t="n">
        <f aca="false">G4*Assumptions!G10</f>
        <v>1427585.06325547</v>
      </c>
      <c r="H26" s="23" t="n">
        <f aca="false">H4*Assumptions!H10</f>
        <v>1675886.57660974</v>
      </c>
      <c r="I26" s="23" t="n">
        <f aca="false">I4*Assumptions!I10</f>
        <v>1921486.87817575</v>
      </c>
    </row>
    <row r="27" customFormat="false" ht="15" hidden="false" customHeight="true" outlineLevel="0" collapsed="false">
      <c r="A27" s="16" t="s">
        <v>179</v>
      </c>
      <c r="B27" s="24" t="n">
        <v>33354</v>
      </c>
      <c r="C27" s="24" t="n">
        <v>31587</v>
      </c>
      <c r="D27" s="24" t="n">
        <v>26145</v>
      </c>
      <c r="E27" s="23" t="n">
        <f aca="false">E4*Assumptions!E11</f>
        <v>43083.8369376</v>
      </c>
      <c r="F27" s="23" t="n">
        <f aca="false">F4*Assumptions!F11</f>
        <v>61938.1712462573</v>
      </c>
      <c r="G27" s="23" t="n">
        <f aca="false">G4*Assumptions!G11</f>
        <v>83975.591956204</v>
      </c>
      <c r="H27" s="23" t="n">
        <f aca="false">H4*Assumptions!H11</f>
        <v>108121.714619983</v>
      </c>
      <c r="I27" s="23" t="n">
        <f aca="false">I4*Assumptions!I11</f>
        <v>134057.224058774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180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181</v>
      </c>
    </row>
    <row r="5" customFormat="false" ht="15" hidden="false" customHeight="true" outlineLevel="0" collapsed="false">
      <c r="A5" s="6" t="s">
        <v>182</v>
      </c>
      <c r="B5" s="24" t="n">
        <v>831047</v>
      </c>
      <c r="C5" s="24" t="n">
        <v>2098524</v>
      </c>
      <c r="D5" s="24" t="n">
        <v>1423796</v>
      </c>
      <c r="E5" s="36" t="n">
        <f aca="false">'Cash Flow'!E34</f>
        <v>4649997.84707096</v>
      </c>
      <c r="F5" s="36" t="n">
        <f aca="false">'Cash Flow'!F34</f>
        <v>9276214.54315087</v>
      </c>
      <c r="G5" s="36" t="n">
        <f aca="false">'Cash Flow'!G34</f>
        <v>15467652.9099085</v>
      </c>
      <c r="H5" s="36" t="n">
        <f aca="false">'Cash Flow'!H34</f>
        <v>23539143.4254082</v>
      </c>
      <c r="I5" s="36" t="n">
        <f aca="false">'Cash Flow'!I34</f>
        <v>33793587.2423803</v>
      </c>
    </row>
    <row r="6" customFormat="false" ht="15" hidden="false" customHeight="true" outlineLevel="0" collapsed="false">
      <c r="A6" s="6" t="s">
        <v>183</v>
      </c>
      <c r="B6" s="24" t="n">
        <v>2843132</v>
      </c>
      <c r="C6" s="24" t="n">
        <v>3131463</v>
      </c>
      <c r="D6" s="24" t="n">
        <v>5753247</v>
      </c>
      <c r="E6" s="23" t="n">
        <f aca="false">D6</f>
        <v>5753247</v>
      </c>
      <c r="F6" s="23" t="n">
        <f aca="false">E6</f>
        <v>5753247</v>
      </c>
      <c r="G6" s="23" t="n">
        <f aca="false">F6</f>
        <v>5753247</v>
      </c>
      <c r="H6" s="23" t="n">
        <f aca="false">G6</f>
        <v>5753247</v>
      </c>
      <c r="I6" s="23" t="n">
        <f aca="false">H6</f>
        <v>5753247</v>
      </c>
      <c r="K6" s="18" t="s">
        <v>184</v>
      </c>
    </row>
    <row r="7" customFormat="false" ht="15" hidden="false" customHeight="true" outlineLevel="0" collapsed="false">
      <c r="A7" s="6" t="s">
        <v>185</v>
      </c>
      <c r="B7" s="24" t="n">
        <v>364784</v>
      </c>
      <c r="C7" s="24" t="n">
        <v>575048</v>
      </c>
      <c r="D7" s="24" t="n">
        <v>1042065</v>
      </c>
      <c r="E7" s="23" t="n">
        <f aca="false">'Income Statement'!E4*Assumptions!E17/365</f>
        <v>1672203.71675616</v>
      </c>
      <c r="F7" s="23" t="n">
        <f aca="false">'Income Statement'!F4*Assumptions!F17/365</f>
        <v>2375710.67793864</v>
      </c>
      <c r="G7" s="23" t="n">
        <f aca="false">'Income Statement'!G4*Assumptions!G17/365</f>
        <v>3182636.59012097</v>
      </c>
      <c r="H7" s="23" t="n">
        <f aca="false">'Income Statement'!H4*Assumptions!H17/365</f>
        <v>4048392.96750622</v>
      </c>
      <c r="I7" s="23" t="n">
        <f aca="false">'Income Statement'!I4*Assumptions!I17/365</f>
        <v>4958280.88984505</v>
      </c>
    </row>
    <row r="8" customFormat="false" ht="15" hidden="false" customHeight="true" outlineLevel="0" collapsed="false">
      <c r="A8" s="6" t="s">
        <v>186</v>
      </c>
      <c r="B8" s="24" t="n">
        <v>99655</v>
      </c>
      <c r="C8" s="24" t="n">
        <v>129254</v>
      </c>
      <c r="D8" s="24" t="n">
        <v>139066</v>
      </c>
      <c r="E8" s="23" t="n">
        <f aca="false">'Income Statement'!E4*Assumptions!E18</f>
        <v>222599.8241776</v>
      </c>
      <c r="F8" s="23" t="n">
        <f aca="false">'Income Statement'!F4*Assumptions!F18</f>
        <v>320013.884772329</v>
      </c>
      <c r="G8" s="23" t="n">
        <f aca="false">'Income Statement'!G4*Assumptions!G18</f>
        <v>433873.891773721</v>
      </c>
      <c r="H8" s="23" t="n">
        <f aca="false">'Income Statement'!H4*Assumptions!H18</f>
        <v>558628.858869913</v>
      </c>
      <c r="I8" s="23" t="n">
        <f aca="false">'Income Statement'!I4*Assumptions!I18</f>
        <v>692628.99097033</v>
      </c>
    </row>
    <row r="9" customFormat="false" ht="15" hidden="false" customHeight="true" outlineLevel="0" collapsed="false">
      <c r="A9" s="15" t="s">
        <v>187</v>
      </c>
      <c r="B9" s="27" t="n">
        <f aca="false">SUM(B5:B8)</f>
        <v>4138618</v>
      </c>
      <c r="C9" s="27" t="n">
        <f aca="false">SUM(C5:C8)</f>
        <v>5934289</v>
      </c>
      <c r="D9" s="27" t="n">
        <f aca="false">SUM(D5:D8)</f>
        <v>8358174</v>
      </c>
      <c r="E9" s="27" t="n">
        <f aca="false">SUM(E5:E8)</f>
        <v>12298048.3880047</v>
      </c>
      <c r="F9" s="27" t="n">
        <f aca="false">SUM(F5:F8)</f>
        <v>17725186.1058618</v>
      </c>
      <c r="G9" s="27" t="n">
        <f aca="false">SUM(G5:G8)</f>
        <v>24837410.3918032</v>
      </c>
      <c r="H9" s="27" t="n">
        <f aca="false">SUM(H5:H8)</f>
        <v>33899412.2517844</v>
      </c>
      <c r="I9" s="27" t="n">
        <f aca="false">SUM(I5:I8)</f>
        <v>45197744.1231957</v>
      </c>
    </row>
    <row r="10" customFormat="false" ht="15" hidden="false" customHeight="true" outlineLevel="0" collapsed="false">
      <c r="A10" s="6" t="s">
        <v>188</v>
      </c>
      <c r="B10" s="24" t="n">
        <v>47758</v>
      </c>
      <c r="C10" s="24" t="n">
        <v>39638</v>
      </c>
      <c r="D10" s="24" t="n">
        <v>51960</v>
      </c>
      <c r="E10" s="23" t="n">
        <f aca="false">D10-'Cash Flow'!E17-'Cash Flow'!E6</f>
        <v>80682.5579584</v>
      </c>
      <c r="F10" s="23" t="n">
        <f aca="false">E10-'Cash Flow'!F17-'Cash Flow'!F6</f>
        <v>121974.672122572</v>
      </c>
      <c r="G10" s="23" t="n">
        <f aca="false">F10-'Cash Flow'!G17-'Cash Flow'!G6</f>
        <v>163962.468100674</v>
      </c>
      <c r="H10" s="23" t="n">
        <f aca="false">G10-'Cash Flow'!H17-'Cash Flow'!H6</f>
        <v>218023.325410665</v>
      </c>
      <c r="I10" s="23" t="n">
        <f aca="false">H10-'Cash Flow'!I17-'Cash Flow'!I6</f>
        <v>262709.06676359</v>
      </c>
    </row>
    <row r="11" customFormat="false" ht="15" hidden="false" customHeight="true" outlineLevel="0" collapsed="false">
      <c r="A11" s="6" t="s">
        <v>189</v>
      </c>
      <c r="B11" s="24" t="n">
        <v>182863</v>
      </c>
      <c r="C11" s="24" t="n">
        <v>200740</v>
      </c>
      <c r="D11" s="24" t="n">
        <v>200105</v>
      </c>
      <c r="E11" s="23" t="n">
        <f aca="false">D11</f>
        <v>200105</v>
      </c>
      <c r="F11" s="23" t="n">
        <f aca="false">E11</f>
        <v>200105</v>
      </c>
      <c r="G11" s="23" t="n">
        <f aca="false">F11</f>
        <v>200105</v>
      </c>
      <c r="H11" s="23" t="n">
        <f aca="false">G11</f>
        <v>200105</v>
      </c>
      <c r="I11" s="23" t="n">
        <f aca="false">H11</f>
        <v>200105</v>
      </c>
    </row>
    <row r="12" customFormat="false" ht="15" hidden="false" customHeight="true" outlineLevel="0" collapsed="false">
      <c r="A12" s="6" t="s">
        <v>190</v>
      </c>
      <c r="B12" s="24" t="n">
        <v>153186</v>
      </c>
      <c r="C12" s="24" t="n">
        <v>166217</v>
      </c>
      <c r="D12" s="24" t="n">
        <v>290153</v>
      </c>
      <c r="E12" s="23" t="n">
        <f aca="false">'Income Statement'!E4*Assumptions!E19</f>
        <v>466741.566824</v>
      </c>
      <c r="F12" s="23" t="n">
        <f aca="false">'Income Statement'!F4*Assumptions!F19</f>
        <v>670996.855167787</v>
      </c>
      <c r="G12" s="23" t="n">
        <f aca="false">'Income Statement'!G4*Assumptions!G19</f>
        <v>909735.579525544</v>
      </c>
      <c r="H12" s="23" t="n">
        <f aca="false">'Income Statement'!H4*Assumptions!H19</f>
        <v>1171318.57504982</v>
      </c>
      <c r="I12" s="23" t="n">
        <f aca="false">'Income Statement'!I4*Assumptions!I19</f>
        <v>1452286.59397005</v>
      </c>
    </row>
    <row r="13" customFormat="false" ht="15" hidden="false" customHeight="true" outlineLevel="0" collapsed="false">
      <c r="A13" s="15" t="s">
        <v>191</v>
      </c>
      <c r="B13" s="29" t="n">
        <f aca="false">B9+B10+B11+B12</f>
        <v>4522425</v>
      </c>
      <c r="C13" s="29" t="n">
        <f aca="false">C9+C10+C11+C12</f>
        <v>6340884</v>
      </c>
      <c r="D13" s="29" t="n">
        <f aca="false">D9+D10+D11+D12</f>
        <v>8900392</v>
      </c>
      <c r="E13" s="29" t="n">
        <f aca="false">E9+E10+E11+E12</f>
        <v>13045577.5127871</v>
      </c>
      <c r="F13" s="29" t="n">
        <f aca="false">F9+F10+F11+F12</f>
        <v>18718262.6331522</v>
      </c>
      <c r="G13" s="29" t="n">
        <f aca="false">G9+G10+G11+G12</f>
        <v>26111213.4394294</v>
      </c>
      <c r="H13" s="29" t="n">
        <f aca="false">H9+H10+H11+H12</f>
        <v>35488859.1522448</v>
      </c>
      <c r="I13" s="29" t="n">
        <f aca="false">I9+I10+I11+I12</f>
        <v>47112844.7839293</v>
      </c>
    </row>
    <row r="15" customFormat="false" ht="15" hidden="false" customHeight="true" outlineLevel="0" collapsed="false">
      <c r="A15" s="15" t="s">
        <v>192</v>
      </c>
    </row>
    <row r="16" customFormat="false" ht="15" hidden="false" customHeight="true" outlineLevel="0" collapsed="false">
      <c r="A16" s="6" t="s">
        <v>193</v>
      </c>
      <c r="B16" s="24" t="n">
        <v>12122</v>
      </c>
      <c r="C16" s="24" t="n">
        <v>103</v>
      </c>
      <c r="D16" s="24" t="n">
        <v>8064</v>
      </c>
      <c r="E16" s="23" t="n">
        <f aca="false">('Income Statement'!E5+'Income Statement'!E12)*Assumptions!E20</f>
        <v>13518.8036470272</v>
      </c>
      <c r="F16" s="23" t="n">
        <f aca="false">('Income Statement'!F5+'Income Statement'!F12)*Assumptions!F20</f>
        <v>18213.9655256221</v>
      </c>
      <c r="G16" s="23" t="n">
        <f aca="false">('Income Statement'!G5+'Income Statement'!G12)*Assumptions!G20</f>
        <v>23343.251905686</v>
      </c>
      <c r="H16" s="23" t="n">
        <f aca="false">('Income Statement'!H5+'Income Statement'!H12)*Assumptions!H20</f>
        <v>28611.1423602562</v>
      </c>
      <c r="I16" s="23" t="n">
        <f aca="false">('Income Statement'!I5+'Income Statement'!I12)*Assumptions!I20</f>
        <v>33765.1028884306</v>
      </c>
    </row>
    <row r="17" customFormat="false" ht="15" hidden="false" customHeight="true" outlineLevel="0" collapsed="false">
      <c r="A17" s="6" t="s">
        <v>194</v>
      </c>
      <c r="B17" s="24" t="n">
        <v>222991</v>
      </c>
      <c r="C17" s="24" t="n">
        <v>427046</v>
      </c>
      <c r="D17" s="24" t="n">
        <v>355624</v>
      </c>
      <c r="E17" s="23" t="n">
        <f aca="false">('Income Statement'!E5+'Income Statement'!E12)*Assumptions!E21</f>
        <v>518220.806469376</v>
      </c>
      <c r="F17" s="23" t="n">
        <f aca="false">('Income Statement'!F5+'Income Statement'!F12)*Assumptions!F21</f>
        <v>686059.368131767</v>
      </c>
      <c r="G17" s="23" t="n">
        <f aca="false">('Income Statement'!G5+'Income Statement'!G12)*Assumptions!G21</f>
        <v>863700.320510384</v>
      </c>
      <c r="H17" s="23" t="n">
        <f aca="false">('Income Statement'!H5+'Income Statement'!H12)*Assumptions!H21</f>
        <v>1039538.17242264</v>
      </c>
      <c r="I17" s="23" t="n">
        <f aca="false">('Income Statement'!I5+'Income Statement'!I12)*Assumptions!I21</f>
        <v>1204288.66968736</v>
      </c>
    </row>
    <row r="18" customFormat="false" ht="15" hidden="false" customHeight="true" outlineLevel="0" collapsed="false">
      <c r="A18" s="6" t="s">
        <v>195</v>
      </c>
      <c r="B18" s="24" t="n">
        <v>246901</v>
      </c>
      <c r="C18" s="24" t="n">
        <v>259624</v>
      </c>
      <c r="D18" s="24" t="n">
        <v>408963</v>
      </c>
      <c r="E18" s="23" t="n">
        <f aca="false">'Income Statement'!E4*Assumptions!E22</f>
        <v>653438.1935536</v>
      </c>
      <c r="F18" s="23" t="n">
        <f aca="false">'Income Statement'!F4*Assumptions!F22</f>
        <v>939395.597234902</v>
      </c>
      <c r="G18" s="23" t="n">
        <f aca="false">'Income Statement'!G4*Assumptions!G22</f>
        <v>1273629.81133576</v>
      </c>
      <c r="H18" s="23" t="n">
        <f aca="false">'Income Statement'!H4*Assumptions!H22</f>
        <v>1639846.00506974</v>
      </c>
      <c r="I18" s="23" t="n">
        <f aca="false">'Income Statement'!I4*Assumptions!I22</f>
        <v>2033201.23155807</v>
      </c>
    </row>
    <row r="19" customFormat="false" ht="15" hidden="false" customHeight="true" outlineLevel="0" collapsed="false">
      <c r="A19" s="6" t="s">
        <v>196</v>
      </c>
      <c r="B19" s="24" t="n">
        <v>209828</v>
      </c>
      <c r="C19" s="24" t="n">
        <v>265252</v>
      </c>
      <c r="D19" s="24" t="n">
        <v>357066</v>
      </c>
      <c r="E19" s="23" t="n">
        <f aca="false">'Income Statement'!E4*Assumptions!E24</f>
        <v>567270.5196784</v>
      </c>
      <c r="F19" s="23" t="n">
        <f aca="false">'Income Statement'!F4*Assumptions!F24</f>
        <v>805196.226201345</v>
      </c>
      <c r="G19" s="23" t="n">
        <f aca="false">'Income Statement'!G4*Assumptions!G24</f>
        <v>1077686.76343795</v>
      </c>
      <c r="H19" s="23" t="n">
        <f aca="false">'Income Statement'!H4*Assumptions!H24</f>
        <v>1369541.71851979</v>
      </c>
      <c r="I19" s="23" t="n">
        <f aca="false">'Income Statement'!I4*Assumptions!I24</f>
        <v>1675715.30073467</v>
      </c>
    </row>
    <row r="20" customFormat="false" ht="15" hidden="false" customHeight="true" outlineLevel="0" collapsed="false">
      <c r="A20" s="6" t="s">
        <v>197</v>
      </c>
      <c r="B20" s="24" t="n">
        <v>54176</v>
      </c>
      <c r="C20" s="24" t="n">
        <v>43993</v>
      </c>
      <c r="D20" s="24" t="n">
        <v>45864</v>
      </c>
      <c r="E20" s="23" t="n">
        <f aca="false">D20</f>
        <v>45864</v>
      </c>
      <c r="F20" s="23" t="n">
        <f aca="false">E20</f>
        <v>45864</v>
      </c>
      <c r="G20" s="23" t="n">
        <f aca="false">F20</f>
        <v>45864</v>
      </c>
      <c r="H20" s="23" t="n">
        <f aca="false">G20</f>
        <v>45864</v>
      </c>
      <c r="I20" s="23" t="n">
        <f aca="false">H20</f>
        <v>45864</v>
      </c>
    </row>
    <row r="21" customFormat="false" ht="15" hidden="false" customHeight="true" outlineLevel="0" collapsed="false">
      <c r="A21" s="15" t="s">
        <v>198</v>
      </c>
      <c r="B21" s="27" t="n">
        <f aca="false">SUM(B16:B20)</f>
        <v>746018</v>
      </c>
      <c r="C21" s="27" t="n">
        <f aca="false">SUM(C16:C20)</f>
        <v>996018</v>
      </c>
      <c r="D21" s="27" t="n">
        <f aca="false">SUM(D16:D20)</f>
        <v>1175581</v>
      </c>
      <c r="E21" s="27" t="n">
        <f aca="false">SUM(E16:E20)</f>
        <v>1798312.3233484</v>
      </c>
      <c r="F21" s="27" t="n">
        <f aca="false">SUM(F16:F20)</f>
        <v>2494729.15709364</v>
      </c>
      <c r="G21" s="27" t="n">
        <f aca="false">SUM(G16:G20)</f>
        <v>3284224.14718978</v>
      </c>
      <c r="H21" s="27" t="n">
        <f aca="false">SUM(H16:H20)</f>
        <v>4123401.03837243</v>
      </c>
      <c r="I21" s="27" t="n">
        <f aca="false">SUM(I16:I20)</f>
        <v>4992834.30486852</v>
      </c>
    </row>
    <row r="22" customFormat="false" ht="15" hidden="false" customHeight="true" outlineLevel="0" collapsed="false">
      <c r="A22" s="6" t="s">
        <v>199</v>
      </c>
      <c r="B22" s="24" t="n">
        <v>28047</v>
      </c>
      <c r="C22" s="24" t="n">
        <v>39885</v>
      </c>
      <c r="D22" s="24" t="n">
        <v>46216</v>
      </c>
      <c r="E22" s="23" t="n">
        <f aca="false">'Income Statement'!E4*Assumptions!E23</f>
        <v>71806.394896</v>
      </c>
      <c r="F22" s="23" t="n">
        <f aca="false">'Income Statement'!F4*Assumptions!F23</f>
        <v>103230.285410429</v>
      </c>
      <c r="G22" s="23" t="n">
        <f aca="false">'Income Statement'!G4*Assumptions!G23</f>
        <v>139959.319927007</v>
      </c>
      <c r="H22" s="23" t="n">
        <f aca="false">'Income Statement'!H4*Assumptions!H23</f>
        <v>180202.857699972</v>
      </c>
      <c r="I22" s="23" t="n">
        <f aca="false">'Income Statement'!I4*Assumptions!I23</f>
        <v>223428.706764623</v>
      </c>
    </row>
    <row r="23" customFormat="false" ht="15" hidden="false" customHeight="true" outlineLevel="0" collapsed="false">
      <c r="A23" s="6" t="s">
        <v>200</v>
      </c>
      <c r="B23" s="24" t="n">
        <v>1477</v>
      </c>
      <c r="C23" s="24" t="n">
        <v>1663</v>
      </c>
      <c r="D23" s="24" t="n">
        <v>18</v>
      </c>
      <c r="E23" s="23" t="n">
        <f aca="false">D23</f>
        <v>18</v>
      </c>
      <c r="F23" s="23" t="n">
        <f aca="false">E23</f>
        <v>18</v>
      </c>
      <c r="G23" s="23" t="n">
        <f aca="false">F23</f>
        <v>18</v>
      </c>
      <c r="H23" s="23" t="n">
        <f aca="false">G23</f>
        <v>18</v>
      </c>
      <c r="I23" s="23" t="n">
        <f aca="false">H23</f>
        <v>18</v>
      </c>
    </row>
    <row r="24" customFormat="false" ht="15" hidden="false" customHeight="true" outlineLevel="0" collapsed="false">
      <c r="A24" s="6" t="s">
        <v>201</v>
      </c>
      <c r="B24" s="24" t="n">
        <v>175216</v>
      </c>
      <c r="C24" s="24" t="n">
        <v>195226</v>
      </c>
      <c r="D24" s="24" t="n">
        <v>183474</v>
      </c>
      <c r="E24" s="23" t="n">
        <f aca="false">D24</f>
        <v>183474</v>
      </c>
      <c r="F24" s="23" t="n">
        <f aca="false">E24</f>
        <v>183474</v>
      </c>
      <c r="G24" s="23" t="n">
        <f aca="false">F24</f>
        <v>183474</v>
      </c>
      <c r="H24" s="23" t="n">
        <f aca="false">G24</f>
        <v>183474</v>
      </c>
      <c r="I24" s="23" t="n">
        <f aca="false">H24</f>
        <v>183474</v>
      </c>
    </row>
    <row r="25" customFormat="false" ht="15" hidden="false" customHeight="true" outlineLevel="0" collapsed="false">
      <c r="A25" s="6" t="s">
        <v>202</v>
      </c>
      <c r="B25" s="24" t="n">
        <v>10702</v>
      </c>
      <c r="C25" s="24" t="n">
        <v>13685</v>
      </c>
      <c r="D25" s="24" t="n">
        <v>7092</v>
      </c>
      <c r="E25" s="23" t="n">
        <f aca="false">D25</f>
        <v>7092</v>
      </c>
      <c r="F25" s="23" t="n">
        <f aca="false">E25</f>
        <v>7092</v>
      </c>
      <c r="G25" s="23" t="n">
        <f aca="false">F25</f>
        <v>7092</v>
      </c>
      <c r="H25" s="23" t="n">
        <f aca="false">G25</f>
        <v>7092</v>
      </c>
      <c r="I25" s="23" t="n">
        <f aca="false">H25</f>
        <v>7092</v>
      </c>
    </row>
    <row r="26" customFormat="false" ht="15" hidden="false" customHeight="true" outlineLevel="0" collapsed="false">
      <c r="A26" s="15" t="s">
        <v>203</v>
      </c>
      <c r="B26" s="27" t="n">
        <f aca="false">B21+SUM(B22:B25)</f>
        <v>961460</v>
      </c>
      <c r="C26" s="27" t="n">
        <f aca="false">C21+SUM(C22:C25)</f>
        <v>1246477</v>
      </c>
      <c r="D26" s="27" t="n">
        <f aca="false">D21+SUM(D22:D25)</f>
        <v>1412381</v>
      </c>
      <c r="E26" s="27" t="n">
        <f aca="false">E21+SUM(E22:E25)</f>
        <v>2060702.7182444</v>
      </c>
      <c r="F26" s="27" t="n">
        <f aca="false">F21+SUM(F22:F25)</f>
        <v>2788543.44250407</v>
      </c>
      <c r="G26" s="27" t="n">
        <f aca="false">G21+SUM(G22:G25)</f>
        <v>3614767.46711679</v>
      </c>
      <c r="H26" s="27" t="n">
        <f aca="false">H21+SUM(H22:H25)</f>
        <v>4494187.8960724</v>
      </c>
      <c r="I26" s="27" t="n">
        <f aca="false">I21+SUM(I22:I25)</f>
        <v>5406847.01163315</v>
      </c>
    </row>
    <row r="28" customFormat="false" ht="15" hidden="false" customHeight="true" outlineLevel="0" collapsed="false">
      <c r="A28" s="15" t="s">
        <v>204</v>
      </c>
    </row>
    <row r="29" customFormat="false" ht="15" hidden="false" customHeight="true" outlineLevel="0" collapsed="false">
      <c r="A29" s="6" t="s">
        <v>205</v>
      </c>
      <c r="B29" s="24" t="n">
        <v>2200</v>
      </c>
      <c r="C29" s="24" t="n">
        <v>2339</v>
      </c>
      <c r="D29" s="24" t="n">
        <v>2391</v>
      </c>
      <c r="E29" s="23" t="n">
        <f aca="false">D29</f>
        <v>2391</v>
      </c>
      <c r="F29" s="23" t="n">
        <f aca="false">E29</f>
        <v>2391</v>
      </c>
      <c r="G29" s="23" t="n">
        <f aca="false">F29</f>
        <v>2391</v>
      </c>
      <c r="H29" s="23" t="n">
        <f aca="false">G29</f>
        <v>2391</v>
      </c>
      <c r="I29" s="23" t="n">
        <f aca="false">H29</f>
        <v>2391</v>
      </c>
    </row>
    <row r="30" customFormat="false" ht="15" hidden="false" customHeight="true" outlineLevel="0" collapsed="false">
      <c r="A30" s="6" t="s">
        <v>206</v>
      </c>
      <c r="B30" s="24" t="n">
        <v>9122173</v>
      </c>
      <c r="C30" s="24" t="n">
        <v>10193970</v>
      </c>
      <c r="D30" s="24" t="n">
        <v>10933325</v>
      </c>
      <c r="E30" s="23" t="n">
        <f aca="false">D30+'Cash Flow'!E7+'Cash Flow'!E23</f>
        <v>12016808.133648</v>
      </c>
      <c r="F30" s="23" t="n">
        <f aca="false">E30+'Cash Flow'!F7+'Cash Flow'!F23</f>
        <v>13353956.4158679</v>
      </c>
      <c r="G30" s="23" t="n">
        <f aca="false">F30+'Cash Flow'!G7+'Cash Flow'!G23</f>
        <v>14931541.4791234</v>
      </c>
      <c r="H30" s="23" t="n">
        <f aca="false">G30+'Cash Flow'!H7+'Cash Flow'!H23</f>
        <v>16757428.0557331</v>
      </c>
      <c r="I30" s="23" t="n">
        <f aca="false">H30+'Cash Flow'!I7+'Cash Flow'!I23</f>
        <v>18828914.9339089</v>
      </c>
    </row>
    <row r="31" customFormat="false" ht="15" hidden="false" customHeight="true" outlineLevel="0" collapsed="false">
      <c r="A31" s="6" t="s">
        <v>207</v>
      </c>
      <c r="B31" s="24" t="n">
        <v>801</v>
      </c>
      <c r="C31" s="24" t="n">
        <v>-5611</v>
      </c>
      <c r="D31" s="24" t="n">
        <v>13942</v>
      </c>
      <c r="E31" s="23" t="n">
        <f aca="false">D31</f>
        <v>13942</v>
      </c>
      <c r="F31" s="23" t="n">
        <f aca="false">E31</f>
        <v>13942</v>
      </c>
      <c r="G31" s="23" t="n">
        <f aca="false">F31</f>
        <v>13942</v>
      </c>
      <c r="H31" s="23" t="n">
        <f aca="false">G31</f>
        <v>13942</v>
      </c>
      <c r="I31" s="23" t="n">
        <f aca="false">H31</f>
        <v>13942</v>
      </c>
    </row>
    <row r="32" customFormat="false" ht="15" hidden="false" customHeight="true" outlineLevel="0" collapsed="false">
      <c r="A32" s="6" t="s">
        <v>208</v>
      </c>
      <c r="B32" s="24" t="n">
        <v>-5649613</v>
      </c>
      <c r="C32" s="24" t="n">
        <v>-5187423</v>
      </c>
      <c r="D32" s="24" t="n">
        <v>-3562390</v>
      </c>
      <c r="E32" s="23" t="n">
        <f aca="false">D32+'Income Statement'!E21+'Cash Flow'!E24+'Cash Flow'!E25</f>
        <v>-1149009.33910528</v>
      </c>
      <c r="F32" s="23" t="n">
        <f aca="false">E32+'Income Statement'!F21+'Cash Flow'!F24+'Cash Flow'!F25</f>
        <v>2458686.77478019</v>
      </c>
      <c r="G32" s="23" t="n">
        <f aca="false">F32+'Income Statement'!G21+'Cash Flow'!G24+'Cash Flow'!G25</f>
        <v>7447828.49318924</v>
      </c>
      <c r="H32" s="23" t="n">
        <f aca="false">G32+'Income Statement'!H21+'Cash Flow'!H24+'Cash Flow'!H25</f>
        <v>14120167.2004393</v>
      </c>
      <c r="I32" s="23" t="n">
        <f aca="false">H32+'Income Statement'!I21+'Cash Flow'!I24+'Cash Flow'!I25</f>
        <v>22760006.8383873</v>
      </c>
    </row>
    <row r="33" customFormat="false" ht="15" hidden="false" customHeight="true" outlineLevel="0" collapsed="false">
      <c r="A33" s="15" t="s">
        <v>209</v>
      </c>
      <c r="B33" s="27" t="n">
        <f aca="false">SUM(B29:B32)</f>
        <v>3475561</v>
      </c>
      <c r="C33" s="27" t="n">
        <f aca="false">SUM(C29:C32)</f>
        <v>5003275</v>
      </c>
      <c r="D33" s="27" t="n">
        <f aca="false">SUM(D29:D32)</f>
        <v>7387268</v>
      </c>
      <c r="E33" s="27" t="n">
        <f aca="false">SUM(E29:E32)</f>
        <v>10884131.7945427</v>
      </c>
      <c r="F33" s="27" t="n">
        <f aca="false">SUM(F29:F32)</f>
        <v>15828976.1906481</v>
      </c>
      <c r="G33" s="27" t="n">
        <f aca="false">SUM(G29:G32)</f>
        <v>22395702.9723126</v>
      </c>
      <c r="H33" s="27" t="n">
        <f aca="false">SUM(H29:H32)</f>
        <v>30893928.2561725</v>
      </c>
      <c r="I33" s="27" t="n">
        <f aca="false">SUM(I29:I32)</f>
        <v>41605254.7722962</v>
      </c>
    </row>
    <row r="34" customFormat="false" ht="15" hidden="false" customHeight="true" outlineLevel="0" collapsed="false">
      <c r="A34" s="6" t="s">
        <v>210</v>
      </c>
      <c r="B34" s="24" t="n">
        <v>85404</v>
      </c>
      <c r="C34" s="24" t="n">
        <v>91132</v>
      </c>
      <c r="D34" s="24" t="n">
        <v>100743</v>
      </c>
      <c r="E34" s="23" t="n">
        <f aca="false">D34</f>
        <v>100743</v>
      </c>
      <c r="F34" s="23" t="n">
        <f aca="false">E34</f>
        <v>100743</v>
      </c>
      <c r="G34" s="23" t="n">
        <f aca="false">F34</f>
        <v>100743</v>
      </c>
      <c r="H34" s="23" t="n">
        <f aca="false">G34</f>
        <v>100743</v>
      </c>
      <c r="I34" s="23" t="n">
        <f aca="false">H34</f>
        <v>100743</v>
      </c>
    </row>
    <row r="35" customFormat="false" ht="15" hidden="false" customHeight="true" outlineLevel="0" collapsed="false">
      <c r="A35" s="15" t="s">
        <v>211</v>
      </c>
      <c r="B35" s="35" t="n">
        <f aca="false">B33+B34</f>
        <v>3560965</v>
      </c>
      <c r="C35" s="35" t="n">
        <f aca="false">C33+C34</f>
        <v>5094407</v>
      </c>
      <c r="D35" s="35" t="n">
        <f aca="false">D33+D34</f>
        <v>7488011</v>
      </c>
      <c r="E35" s="35" t="n">
        <f aca="false">E33+E34</f>
        <v>10984874.7945427</v>
      </c>
      <c r="F35" s="35" t="n">
        <f aca="false">F33+F34</f>
        <v>15929719.1906481</v>
      </c>
      <c r="G35" s="35" t="n">
        <f aca="false">G33+G34</f>
        <v>22496445.9723126</v>
      </c>
      <c r="H35" s="35" t="n">
        <f aca="false">H33+H34</f>
        <v>30994671.2561725</v>
      </c>
      <c r="I35" s="35" t="n">
        <f aca="false">I33+I34</f>
        <v>41705997.7722962</v>
      </c>
    </row>
    <row r="36" customFormat="false" ht="15" hidden="false" customHeight="true" outlineLevel="0" collapsed="false">
      <c r="A36" s="15" t="s">
        <v>212</v>
      </c>
      <c r="B36" s="29" t="n">
        <f aca="false">B26+B35</f>
        <v>4522425</v>
      </c>
      <c r="C36" s="29" t="n">
        <f aca="false">C26+C35</f>
        <v>6340884</v>
      </c>
      <c r="D36" s="29" t="n">
        <f aca="false">D26+D35</f>
        <v>8900392</v>
      </c>
      <c r="E36" s="29" t="n">
        <f aca="false">E26+E35</f>
        <v>13045577.5127871</v>
      </c>
      <c r="F36" s="29" t="n">
        <f aca="false">F26+F35</f>
        <v>18718262.6331522</v>
      </c>
      <c r="G36" s="29" t="n">
        <f aca="false">G26+G35</f>
        <v>26111213.4394294</v>
      </c>
      <c r="H36" s="29" t="n">
        <f aca="false">H26+H35</f>
        <v>35488859.1522449</v>
      </c>
      <c r="I36" s="29" t="n">
        <f aca="false">I26+I35</f>
        <v>47112844.7839293</v>
      </c>
    </row>
    <row r="38" customFormat="false" ht="15" hidden="false" customHeight="true" outlineLevel="0" collapsed="false">
      <c r="A38" s="16" t="s">
        <v>213</v>
      </c>
      <c r="B38" s="30" t="n">
        <f aca="false">B13-B36</f>
        <v>0</v>
      </c>
      <c r="C38" s="30" t="n">
        <f aca="false">C13-C36</f>
        <v>0</v>
      </c>
      <c r="D38" s="30" t="n">
        <f aca="false">D13-D36</f>
        <v>0</v>
      </c>
      <c r="E38" s="30" t="n">
        <f aca="false">E13-E36</f>
        <v>0</v>
      </c>
      <c r="F38" s="30" t="n">
        <f aca="false">F13-F36</f>
        <v>0</v>
      </c>
      <c r="G38" s="30" t="n">
        <f aca="false">G13-G36</f>
        <v>0</v>
      </c>
      <c r="H38" s="30" t="n">
        <f aca="false">H13-H36</f>
        <v>0</v>
      </c>
      <c r="I38" s="30" t="n">
        <f aca="false">I13-I36</f>
        <v>0</v>
      </c>
      <c r="K38" s="18" t="s">
        <v>214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9" min="2" style="1" width="13.5"/>
    <col collapsed="false" customWidth="true" hidden="false" outlineLevel="0" max="10" min="10" style="1" width="2"/>
    <col collapsed="false" customWidth="true" hidden="false" outlineLevel="0" max="11" min="11" style="1" width="60"/>
  </cols>
  <sheetData>
    <row r="1" customFormat="false" ht="15" hidden="false" customHeight="true" outlineLevel="0" collapsed="false">
      <c r="A1" s="12" t="s">
        <v>215</v>
      </c>
    </row>
    <row r="2" customFormat="false" ht="15" hidden="false" customHeight="true" outlineLevel="0" collapsed="false">
      <c r="A2" s="11" t="s">
        <v>25</v>
      </c>
    </row>
    <row r="3" customFormat="false" ht="15" hidden="false" customHeight="true" outlineLevel="0" collapsed="false">
      <c r="A3" s="13"/>
      <c r="B3" s="14" t="s">
        <v>26</v>
      </c>
      <c r="C3" s="14" t="s">
        <v>27</v>
      </c>
      <c r="D3" s="14" t="s">
        <v>28</v>
      </c>
      <c r="E3" s="14" t="s">
        <v>29</v>
      </c>
      <c r="F3" s="14" t="s">
        <v>30</v>
      </c>
      <c r="G3" s="14" t="s">
        <v>31</v>
      </c>
      <c r="H3" s="14" t="s">
        <v>32</v>
      </c>
      <c r="I3" s="14" t="s">
        <v>33</v>
      </c>
    </row>
    <row r="4" customFormat="false" ht="15" hidden="false" customHeight="true" outlineLevel="0" collapsed="false">
      <c r="A4" s="15" t="s">
        <v>216</v>
      </c>
    </row>
    <row r="5" customFormat="false" ht="15" hidden="false" customHeight="true" outlineLevel="0" collapsed="false">
      <c r="A5" s="6" t="s">
        <v>217</v>
      </c>
      <c r="B5" s="24" t="n">
        <v>217375</v>
      </c>
      <c r="C5" s="24" t="n">
        <v>467918</v>
      </c>
      <c r="D5" s="24" t="n">
        <v>1634644</v>
      </c>
      <c r="E5" s="36" t="n">
        <f aca="false">'Income Statement'!E19</f>
        <v>2813380.66089472</v>
      </c>
      <c r="F5" s="36" t="n">
        <f aca="false">'Income Statement'!F19</f>
        <v>4107696.11388547</v>
      </c>
      <c r="G5" s="36" t="n">
        <f aca="false">'Income Statement'!G19</f>
        <v>5589141.71840905</v>
      </c>
      <c r="H5" s="36" t="n">
        <f aca="false">'Income Statement'!H19</f>
        <v>7372338.70725007</v>
      </c>
      <c r="I5" s="36" t="n">
        <f aca="false">'Income Statement'!I19</f>
        <v>9439839.63794799</v>
      </c>
    </row>
    <row r="6" customFormat="false" ht="15" hidden="false" customHeight="true" outlineLevel="0" collapsed="false">
      <c r="A6" s="6" t="s">
        <v>218</v>
      </c>
      <c r="B6" s="24" t="n">
        <v>33354</v>
      </c>
      <c r="C6" s="24" t="n">
        <v>31587</v>
      </c>
      <c r="D6" s="24" t="n">
        <v>26145</v>
      </c>
      <c r="E6" s="36" t="n">
        <f aca="false">'Income Statement'!E27</f>
        <v>43083.8369376</v>
      </c>
      <c r="F6" s="36" t="n">
        <f aca="false">'Income Statement'!F27</f>
        <v>61938.1712462573</v>
      </c>
      <c r="G6" s="36" t="n">
        <f aca="false">'Income Statement'!G27</f>
        <v>83975.591956204</v>
      </c>
      <c r="H6" s="36" t="n">
        <f aca="false">'Income Statement'!H27</f>
        <v>108121.714619983</v>
      </c>
      <c r="I6" s="36" t="n">
        <f aca="false">'Income Statement'!I27</f>
        <v>134057.224058774</v>
      </c>
    </row>
    <row r="7" customFormat="false" ht="15" hidden="false" customHeight="true" outlineLevel="0" collapsed="false">
      <c r="A7" s="6" t="s">
        <v>219</v>
      </c>
      <c r="B7" s="24" t="n">
        <v>475903</v>
      </c>
      <c r="C7" s="24" t="n">
        <v>691638</v>
      </c>
      <c r="D7" s="24" t="n">
        <v>684033</v>
      </c>
      <c r="E7" s="36" t="n">
        <f aca="false">'Income Statement'!E26</f>
        <v>933483.133648</v>
      </c>
      <c r="F7" s="36" t="n">
        <f aca="false">'Income Statement'!F26</f>
        <v>1187148.28221993</v>
      </c>
      <c r="G7" s="36" t="n">
        <f aca="false">'Income Statement'!G26</f>
        <v>1427585.06325547</v>
      </c>
      <c r="H7" s="36" t="n">
        <f aca="false">'Income Statement'!H26</f>
        <v>1675886.57660974</v>
      </c>
      <c r="I7" s="36" t="n">
        <f aca="false">'Income Statement'!I26</f>
        <v>1921486.87817575</v>
      </c>
    </row>
    <row r="8" customFormat="false" ht="15" hidden="false" customHeight="true" outlineLevel="0" collapsed="false">
      <c r="A8" s="6" t="s">
        <v>220</v>
      </c>
      <c r="B8" s="24" t="n">
        <v>-20685</v>
      </c>
      <c r="C8" s="24" t="n">
        <v>32819</v>
      </c>
      <c r="D8" s="24" t="n">
        <v>-386</v>
      </c>
      <c r="E8" s="24" t="n">
        <v>0</v>
      </c>
      <c r="F8" s="24" t="n">
        <v>0</v>
      </c>
      <c r="G8" s="24" t="n">
        <v>0</v>
      </c>
      <c r="H8" s="24" t="n">
        <v>0</v>
      </c>
      <c r="I8" s="24" t="n">
        <v>0</v>
      </c>
      <c r="K8" s="18" t="s">
        <v>221</v>
      </c>
    </row>
    <row r="9" customFormat="false" ht="15" hidden="false" customHeight="true" outlineLevel="0" collapsed="false">
      <c r="A9" s="6" t="s">
        <v>222</v>
      </c>
      <c r="B9" s="24" t="n">
        <v>-106159</v>
      </c>
      <c r="C9" s="24" t="n">
        <v>-211157</v>
      </c>
      <c r="D9" s="24" t="n">
        <v>-450429</v>
      </c>
      <c r="E9" s="23" t="n">
        <f aca="false">-('Balance Sheet'!E7-'Balance Sheet'!D7)</f>
        <v>-630138.716756165</v>
      </c>
      <c r="F9" s="23" t="n">
        <f aca="false">-('Balance Sheet'!F7-'Balance Sheet'!E7)</f>
        <v>-703506.96118247</v>
      </c>
      <c r="G9" s="23" t="n">
        <f aca="false">-('Balance Sheet'!G7-'Balance Sheet'!F7)</f>
        <v>-806925.912182339</v>
      </c>
      <c r="H9" s="23" t="n">
        <f aca="false">-('Balance Sheet'!H7-'Balance Sheet'!G7)</f>
        <v>-865756.377385241</v>
      </c>
      <c r="I9" s="23" t="n">
        <f aca="false">-('Balance Sheet'!I7-'Balance Sheet'!H7)</f>
        <v>-909887.922338834</v>
      </c>
    </row>
    <row r="10" customFormat="false" ht="15" hidden="false" customHeight="true" outlineLevel="0" collapsed="false">
      <c r="A10" s="6" t="s">
        <v>223</v>
      </c>
      <c r="B10" s="24" t="n">
        <v>-2955</v>
      </c>
      <c r="C10" s="24" t="n">
        <v>11883</v>
      </c>
      <c r="D10" s="24" t="n">
        <v>51979</v>
      </c>
      <c r="E10" s="23" t="n">
        <f aca="false">-('Balance Sheet'!E8-'Balance Sheet'!D8)-('Balance Sheet'!E12-'Balance Sheet'!D12)</f>
        <v>-260122.3910016</v>
      </c>
      <c r="F10" s="23" t="n">
        <f aca="false">-('Balance Sheet'!F8-'Balance Sheet'!E8)-('Balance Sheet'!F12-'Balance Sheet'!E12)</f>
        <v>-301669.348938516</v>
      </c>
      <c r="G10" s="23" t="n">
        <f aca="false">-('Balance Sheet'!G8-'Balance Sheet'!F8)-('Balance Sheet'!G12-'Balance Sheet'!F12)</f>
        <v>-352598.731359148</v>
      </c>
      <c r="H10" s="23" t="n">
        <f aca="false">-('Balance Sheet'!H8-'Balance Sheet'!G8)-('Balance Sheet'!H12-'Balance Sheet'!G12)</f>
        <v>-386337.962620465</v>
      </c>
      <c r="I10" s="23" t="n">
        <f aca="false">-('Balance Sheet'!I8-'Balance Sheet'!H8)-('Balance Sheet'!I12-'Balance Sheet'!H12)</f>
        <v>-414968.151020647</v>
      </c>
    </row>
    <row r="11" customFormat="false" ht="15" hidden="false" customHeight="true" outlineLevel="0" collapsed="false">
      <c r="A11" s="6" t="s">
        <v>224</v>
      </c>
      <c r="B11" s="24" t="n">
        <v>21063</v>
      </c>
      <c r="C11" s="24" t="n">
        <v>96793</v>
      </c>
      <c r="D11" s="24" t="n">
        <v>4659</v>
      </c>
      <c r="E11" s="23" t="n">
        <f aca="false">('Balance Sheet'!E16-'Balance Sheet'!D16)+('Balance Sheet'!E17-'Balance Sheet'!D17)</f>
        <v>168051.610116403</v>
      </c>
      <c r="F11" s="23" t="n">
        <f aca="false">('Balance Sheet'!F16-'Balance Sheet'!E16)+('Balance Sheet'!F17-'Balance Sheet'!E17)</f>
        <v>172533.723540986</v>
      </c>
      <c r="G11" s="23" t="n">
        <f aca="false">('Balance Sheet'!G16-'Balance Sheet'!F16)+('Balance Sheet'!G17-'Balance Sheet'!F17)</f>
        <v>182770.23875868</v>
      </c>
      <c r="H11" s="23" t="n">
        <f aca="false">('Balance Sheet'!H16-'Balance Sheet'!G16)+('Balance Sheet'!H17-'Balance Sheet'!G17)</f>
        <v>181105.74236683</v>
      </c>
      <c r="I11" s="23" t="n">
        <f aca="false">('Balance Sheet'!I16-'Balance Sheet'!H16)+('Balance Sheet'!I17-'Balance Sheet'!H17)</f>
        <v>169904.457792889</v>
      </c>
    </row>
    <row r="12" customFormat="false" ht="15" hidden="false" customHeight="true" outlineLevel="0" collapsed="false">
      <c r="A12" s="6" t="s">
        <v>225</v>
      </c>
      <c r="B12" s="24" t="n">
        <v>143859</v>
      </c>
      <c r="C12" s="24" t="n">
        <v>76796</v>
      </c>
      <c r="D12" s="24" t="n">
        <v>238688</v>
      </c>
      <c r="E12" s="23" t="n">
        <f aca="false">('Balance Sheet'!E18-'Balance Sheet'!D18)+('Balance Sheet'!E22-'Balance Sheet'!D22)+('Balance Sheet'!E19-'Balance Sheet'!D19)+('Balance Sheet'!E23-'Balance Sheet'!D23)</f>
        <v>480270.108128</v>
      </c>
      <c r="F12" s="23" t="n">
        <f aca="false">('Balance Sheet'!F18-'Balance Sheet'!E18)+('Balance Sheet'!F22-'Balance Sheet'!E22)+('Balance Sheet'!F19-'Balance Sheet'!E19)+('Balance Sheet'!F23-'Balance Sheet'!E23)</f>
        <v>555307.000718675</v>
      </c>
      <c r="G12" s="23" t="n">
        <f aca="false">('Balance Sheet'!G18-'Balance Sheet'!F18)+('Balance Sheet'!G22-'Balance Sheet'!F22)+('Balance Sheet'!G19-'Balance Sheet'!F19)+('Balance Sheet'!G23-'Balance Sheet'!F23)</f>
        <v>643453.785854044</v>
      </c>
      <c r="H12" s="23" t="n">
        <f aca="false">('Balance Sheet'!H18-'Balance Sheet'!G18)+('Balance Sheet'!H22-'Balance Sheet'!G22)+('Balance Sheet'!H19-'Balance Sheet'!G19)+('Balance Sheet'!H23-'Balance Sheet'!G23)</f>
        <v>698314.686588782</v>
      </c>
      <c r="I12" s="23" t="n">
        <f aca="false">('Balance Sheet'!I18-'Balance Sheet'!H18)+('Balance Sheet'!I22-'Balance Sheet'!H22)+('Balance Sheet'!I19-'Balance Sheet'!H19)+('Balance Sheet'!I23-'Balance Sheet'!H23)</f>
        <v>742754.657767856</v>
      </c>
    </row>
    <row r="13" customFormat="false" ht="15" hidden="false" customHeight="true" outlineLevel="0" collapsed="false">
      <c r="A13" s="6" t="s">
        <v>226</v>
      </c>
      <c r="B13" s="24" t="n">
        <v>-49572</v>
      </c>
      <c r="C13" s="24" t="n">
        <v>-44412</v>
      </c>
      <c r="D13" s="24" t="n">
        <v>-54860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</row>
    <row r="14" customFormat="false" ht="15" hidden="false" customHeight="true" outlineLevel="0" collapsed="false">
      <c r="A14" s="15" t="s">
        <v>227</v>
      </c>
      <c r="B14" s="27" t="n">
        <f aca="false">SUM(B5:B13)</f>
        <v>712183</v>
      </c>
      <c r="C14" s="27" t="n">
        <f aca="false">SUM(C5:C13)</f>
        <v>1153865</v>
      </c>
      <c r="D14" s="27" t="n">
        <f aca="false">SUM(D5:D13)</f>
        <v>2134473</v>
      </c>
      <c r="E14" s="27" t="n">
        <f aca="false">SUM(E5:E13)</f>
        <v>3548008.24196696</v>
      </c>
      <c r="F14" s="27" t="n">
        <f aca="false">SUM(F5:F13)</f>
        <v>5079446.98149033</v>
      </c>
      <c r="G14" s="27" t="n">
        <f aca="false">SUM(G5:G13)</f>
        <v>6767401.75469196</v>
      </c>
      <c r="H14" s="27" t="n">
        <f aca="false">SUM(H5:H13)</f>
        <v>8783673.0874297</v>
      </c>
      <c r="I14" s="27" t="n">
        <f aca="false">SUM(I5:I13)</f>
        <v>11083186.7823838</v>
      </c>
    </row>
    <row r="16" customFormat="false" ht="15" hidden="false" customHeight="true" outlineLevel="0" collapsed="false">
      <c r="A16" s="15" t="s">
        <v>228</v>
      </c>
    </row>
    <row r="17" customFormat="false" ht="15" hidden="false" customHeight="true" outlineLevel="0" collapsed="false">
      <c r="A17" s="6" t="s">
        <v>229</v>
      </c>
      <c r="B17" s="24" t="n">
        <v>-15114</v>
      </c>
      <c r="C17" s="24" t="n">
        <v>-12634</v>
      </c>
      <c r="D17" s="24" t="n">
        <v>-33882</v>
      </c>
      <c r="E17" s="23" t="n">
        <f aca="false">-'Income Statement'!E4*Assumptions!E25</f>
        <v>-71806.394896</v>
      </c>
      <c r="F17" s="23" t="n">
        <f aca="false">-'Income Statement'!F4*Assumptions!F25</f>
        <v>-103230.285410429</v>
      </c>
      <c r="G17" s="23" t="n">
        <f aca="false">-'Income Statement'!G4*Assumptions!G25</f>
        <v>-125963.387934306</v>
      </c>
      <c r="H17" s="23" t="n">
        <f aca="false">-'Income Statement'!H4*Assumptions!H25</f>
        <v>-162182.571929975</v>
      </c>
      <c r="I17" s="23" t="n">
        <f aca="false">-'Income Statement'!I4*Assumptions!I25</f>
        <v>-178742.965411698</v>
      </c>
    </row>
    <row r="18" customFormat="false" ht="15" hidden="false" customHeight="true" outlineLevel="0" collapsed="false">
      <c r="A18" s="6" t="s">
        <v>230</v>
      </c>
      <c r="B18" s="24" t="n">
        <v>-2747138</v>
      </c>
      <c r="C18" s="24" t="n">
        <v>-322406</v>
      </c>
      <c r="D18" s="24" t="n">
        <v>-2675745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  <c r="K18" s="18" t="s">
        <v>231</v>
      </c>
    </row>
    <row r="19" customFormat="false" ht="15" hidden="false" customHeight="true" outlineLevel="0" collapsed="false">
      <c r="A19" s="6" t="s">
        <v>232</v>
      </c>
      <c r="B19" s="24" t="n">
        <v>51072</v>
      </c>
      <c r="C19" s="24" t="n">
        <v>-5615</v>
      </c>
      <c r="D19" s="24" t="n">
        <v>-73924</v>
      </c>
      <c r="E19" s="24" t="n">
        <v>0</v>
      </c>
      <c r="F19" s="24" t="n">
        <v>0</v>
      </c>
      <c r="G19" s="24" t="n">
        <v>0</v>
      </c>
      <c r="H19" s="24" t="n">
        <v>0</v>
      </c>
      <c r="I19" s="24" t="n">
        <v>0</v>
      </c>
    </row>
    <row r="20" customFormat="false" ht="15" hidden="false" customHeight="true" outlineLevel="0" collapsed="false">
      <c r="A20" s="15" t="s">
        <v>233</v>
      </c>
      <c r="B20" s="27" t="n">
        <f aca="false">SUM(B17:B19)</f>
        <v>-2711180</v>
      </c>
      <c r="C20" s="27" t="n">
        <f aca="false">SUM(C17:C19)</f>
        <v>-340655</v>
      </c>
      <c r="D20" s="27" t="n">
        <f aca="false">SUM(D17:D19)</f>
        <v>-2783551</v>
      </c>
      <c r="E20" s="27" t="n">
        <f aca="false">SUM(E17:E19)</f>
        <v>-71806.394896</v>
      </c>
      <c r="F20" s="27" t="n">
        <f aca="false">SUM(F17:F19)</f>
        <v>-103230.285410429</v>
      </c>
      <c r="G20" s="27" t="n">
        <f aca="false">SUM(G17:G19)</f>
        <v>-125963.387934306</v>
      </c>
      <c r="H20" s="27" t="n">
        <f aca="false">SUM(H17:H19)</f>
        <v>-162182.571929975</v>
      </c>
      <c r="I20" s="27" t="n">
        <f aca="false">SUM(I17:I19)</f>
        <v>-178742.965411698</v>
      </c>
    </row>
    <row r="22" customFormat="false" ht="15" hidden="false" customHeight="true" outlineLevel="0" collapsed="false">
      <c r="A22" s="15" t="s">
        <v>234</v>
      </c>
    </row>
    <row r="23" customFormat="false" ht="15" hidden="false" customHeight="true" outlineLevel="0" collapsed="false">
      <c r="A23" s="6" t="s">
        <v>235</v>
      </c>
      <c r="B23" s="24" t="n">
        <v>218238</v>
      </c>
      <c r="C23" s="24" t="n">
        <v>745396</v>
      </c>
      <c r="D23" s="24" t="n">
        <v>129107</v>
      </c>
      <c r="E23" s="36" t="n">
        <f aca="false">Assumptions!E29</f>
        <v>150000</v>
      </c>
      <c r="F23" s="36" t="n">
        <f aca="false">Assumptions!F29</f>
        <v>150000</v>
      </c>
      <c r="G23" s="36" t="n">
        <f aca="false">Assumptions!G29</f>
        <v>150000</v>
      </c>
      <c r="H23" s="36" t="n">
        <f aca="false">Assumptions!H29</f>
        <v>150000</v>
      </c>
      <c r="I23" s="36" t="n">
        <f aca="false">Assumptions!I29</f>
        <v>150000</v>
      </c>
    </row>
    <row r="24" customFormat="false" ht="15" hidden="false" customHeight="true" outlineLevel="0" collapsed="false">
      <c r="A24" s="6" t="s">
        <v>236</v>
      </c>
      <c r="B24" s="24" t="n">
        <v>0</v>
      </c>
      <c r="C24" s="24" t="n">
        <v>-64196</v>
      </c>
      <c r="D24" s="24" t="n">
        <v>-74985</v>
      </c>
      <c r="E24" s="23" t="n">
        <f aca="false">-Assumptions!E28</f>
        <v>-300000</v>
      </c>
      <c r="F24" s="23" t="n">
        <f aca="false">-Assumptions!F28</f>
        <v>-400000</v>
      </c>
      <c r="G24" s="23" t="n">
        <f aca="false">-Assumptions!G28</f>
        <v>-500000</v>
      </c>
      <c r="H24" s="23" t="n">
        <f aca="false">-Assumptions!H28</f>
        <v>-600000</v>
      </c>
      <c r="I24" s="23" t="n">
        <f aca="false">-Assumptions!I28</f>
        <v>-700000</v>
      </c>
    </row>
    <row r="25" customFormat="false" ht="15" hidden="false" customHeight="true" outlineLevel="0" collapsed="false">
      <c r="A25" s="6" t="s">
        <v>237</v>
      </c>
      <c r="B25" s="24" t="n">
        <v>0</v>
      </c>
      <c r="C25" s="24" t="n">
        <v>-218280</v>
      </c>
      <c r="D25" s="24" t="n">
        <v>-81117</v>
      </c>
      <c r="E25" s="23" t="n">
        <f aca="false">-Assumptions!E30</f>
        <v>-100000</v>
      </c>
      <c r="F25" s="23" t="n">
        <f aca="false">-Assumptions!F30</f>
        <v>-100000</v>
      </c>
      <c r="G25" s="23" t="n">
        <f aca="false">-Assumptions!G30</f>
        <v>-100000</v>
      </c>
      <c r="H25" s="23" t="n">
        <f aca="false">-Assumptions!H30</f>
        <v>-100000</v>
      </c>
      <c r="I25" s="23" t="n">
        <f aca="false">-Assumptions!I30</f>
        <v>-100000</v>
      </c>
    </row>
    <row r="26" customFormat="false" ht="15" hidden="false" customHeight="true" outlineLevel="0" collapsed="false">
      <c r="A26" s="6" t="s">
        <v>238</v>
      </c>
      <c r="B26" s="24" t="n">
        <v>601</v>
      </c>
      <c r="C26" s="24" t="n">
        <v>444</v>
      </c>
      <c r="D26" s="24" t="n">
        <v>85</v>
      </c>
      <c r="E26" s="24" t="n">
        <v>0</v>
      </c>
      <c r="F26" s="24" t="n">
        <v>0</v>
      </c>
      <c r="G26" s="24" t="n">
        <v>0</v>
      </c>
      <c r="H26" s="24" t="n">
        <v>0</v>
      </c>
      <c r="I26" s="24" t="n">
        <v>0</v>
      </c>
    </row>
    <row r="27" customFormat="false" ht="15" hidden="false" customHeight="true" outlineLevel="0" collapsed="false">
      <c r="A27" s="15" t="s">
        <v>239</v>
      </c>
      <c r="B27" s="27" t="n">
        <f aca="false">SUM(B23:B26)</f>
        <v>218839</v>
      </c>
      <c r="C27" s="27" t="n">
        <f aca="false">SUM(C23:C26)</f>
        <v>463364</v>
      </c>
      <c r="D27" s="27" t="n">
        <f aca="false">SUM(D23:D26)</f>
        <v>-26910</v>
      </c>
      <c r="E27" s="27" t="n">
        <f aca="false">SUM(E23:E26)</f>
        <v>-250000</v>
      </c>
      <c r="F27" s="27" t="n">
        <f aca="false">SUM(F23:F26)</f>
        <v>-350000</v>
      </c>
      <c r="G27" s="27" t="n">
        <f aca="false">SUM(G23:G26)</f>
        <v>-450000</v>
      </c>
      <c r="H27" s="27" t="n">
        <f aca="false">SUM(H23:H26)</f>
        <v>-550000</v>
      </c>
      <c r="I27" s="27" t="n">
        <f aca="false">SUM(I23:I26)</f>
        <v>-650000</v>
      </c>
    </row>
    <row r="29" customFormat="false" ht="15" hidden="false" customHeight="true" outlineLevel="0" collapsed="false">
      <c r="A29" s="6" t="s">
        <v>240</v>
      </c>
      <c r="B29" s="24" t="n">
        <v>2930</v>
      </c>
      <c r="C29" s="24" t="n">
        <v>-6745</v>
      </c>
      <c r="D29" s="24" t="n">
        <v>7477</v>
      </c>
      <c r="E29" s="24" t="n">
        <v>0</v>
      </c>
      <c r="F29" s="24" t="n">
        <v>0</v>
      </c>
      <c r="G29" s="24" t="n">
        <v>0</v>
      </c>
      <c r="H29" s="24" t="n">
        <v>0</v>
      </c>
      <c r="I29" s="24" t="n">
        <v>0</v>
      </c>
    </row>
    <row r="30" customFormat="false" ht="15" hidden="false" customHeight="true" outlineLevel="0" collapsed="false">
      <c r="A30" s="15" t="s">
        <v>241</v>
      </c>
      <c r="B30" s="27" t="n">
        <f aca="false">B14+B20+B27+B29</f>
        <v>-1777228</v>
      </c>
      <c r="C30" s="27" t="n">
        <f aca="false">C14+C20+C27+C29</f>
        <v>1269829</v>
      </c>
      <c r="D30" s="27" t="n">
        <f aca="false">D14+D20+D27+D29</f>
        <v>-668511</v>
      </c>
      <c r="E30" s="27" t="n">
        <f aca="false">E14+E20+E27+E29</f>
        <v>3226201.84707096</v>
      </c>
      <c r="F30" s="27" t="n">
        <f aca="false">F14+F20+F27+F29</f>
        <v>4626216.69607991</v>
      </c>
      <c r="G30" s="27" t="n">
        <f aca="false">G14+G20+G27+G29</f>
        <v>6191438.36675765</v>
      </c>
      <c r="H30" s="27" t="n">
        <f aca="false">H14+H20+H27+H29</f>
        <v>8071490.51549972</v>
      </c>
      <c r="I30" s="27" t="n">
        <f aca="false">I14+I20+I27+I29</f>
        <v>10254443.8169721</v>
      </c>
    </row>
    <row r="31" customFormat="false" ht="15" hidden="false" customHeight="true" outlineLevel="0" collapsed="false">
      <c r="A31" s="6" t="s">
        <v>242</v>
      </c>
      <c r="B31" s="24" t="n">
        <v>2627335</v>
      </c>
      <c r="C31" s="24" t="n">
        <v>850107</v>
      </c>
      <c r="D31" s="24" t="n">
        <v>2119936</v>
      </c>
      <c r="E31" s="23" t="n">
        <f aca="false">D34</f>
        <v>1423796</v>
      </c>
      <c r="F31" s="23" t="n">
        <f aca="false">E34</f>
        <v>4649997.84707096</v>
      </c>
      <c r="G31" s="23" t="n">
        <f aca="false">F34</f>
        <v>9276214.54315087</v>
      </c>
      <c r="H31" s="23" t="n">
        <f aca="false">G34</f>
        <v>15467652.9099085</v>
      </c>
      <c r="I31" s="23" t="n">
        <f aca="false">H34</f>
        <v>23539143.4254082</v>
      </c>
    </row>
    <row r="32" customFormat="false" ht="15" hidden="false" customHeight="true" outlineLevel="0" collapsed="false">
      <c r="A32" s="15" t="s">
        <v>243</v>
      </c>
      <c r="B32" s="35" t="n">
        <f aca="false">B31+B30</f>
        <v>850107</v>
      </c>
      <c r="C32" s="35" t="n">
        <f aca="false">C31+C30</f>
        <v>2119936</v>
      </c>
      <c r="D32" s="35" t="n">
        <f aca="false">D31+D30</f>
        <v>1451425</v>
      </c>
      <c r="E32" s="35" t="n">
        <f aca="false">E31+E30</f>
        <v>4649997.84707096</v>
      </c>
      <c r="F32" s="35" t="n">
        <f aca="false">F31+F30</f>
        <v>9276214.54315087</v>
      </c>
      <c r="G32" s="35" t="n">
        <f aca="false">G31+G30</f>
        <v>15467652.9099085</v>
      </c>
      <c r="H32" s="35" t="n">
        <f aca="false">H31+H30</f>
        <v>23539143.4254082</v>
      </c>
      <c r="I32" s="35" t="n">
        <f aca="false">I31+I30</f>
        <v>33793587.2423803</v>
      </c>
    </row>
    <row r="33" customFormat="false" ht="15" hidden="false" customHeight="true" outlineLevel="0" collapsed="false">
      <c r="A33" s="6" t="s">
        <v>244</v>
      </c>
      <c r="B33" s="24" t="n">
        <v>19060</v>
      </c>
      <c r="C33" s="24" t="n">
        <v>21412</v>
      </c>
      <c r="D33" s="24" t="n">
        <v>27629</v>
      </c>
      <c r="E33" s="24" t="n">
        <v>0</v>
      </c>
      <c r="F33" s="24" t="n">
        <v>0</v>
      </c>
      <c r="G33" s="24" t="n">
        <v>0</v>
      </c>
      <c r="H33" s="24" t="n">
        <v>0</v>
      </c>
      <c r="I33" s="24" t="n">
        <v>0</v>
      </c>
    </row>
    <row r="34" customFormat="false" ht="15" hidden="false" customHeight="true" outlineLevel="0" collapsed="false">
      <c r="A34" s="15" t="s">
        <v>245</v>
      </c>
      <c r="B34" s="29" t="n">
        <f aca="false">B32-B33</f>
        <v>831047</v>
      </c>
      <c r="C34" s="29" t="n">
        <f aca="false">C32-C33</f>
        <v>2098524</v>
      </c>
      <c r="D34" s="29" t="n">
        <f aca="false">D32-D33</f>
        <v>1423796</v>
      </c>
      <c r="E34" s="29" t="n">
        <f aca="false">E32-E33</f>
        <v>4649997.84707096</v>
      </c>
      <c r="F34" s="29" t="n">
        <f aca="false">F32-F33</f>
        <v>9276214.54315087</v>
      </c>
      <c r="G34" s="29" t="n">
        <f aca="false">G32-G33</f>
        <v>15467652.9099085</v>
      </c>
      <c r="H34" s="29" t="n">
        <f aca="false">H32-H33</f>
        <v>23539143.4254082</v>
      </c>
      <c r="I34" s="29" t="n">
        <f aca="false">I32-I33</f>
        <v>33793587.2423803</v>
      </c>
      <c r="K34" s="18" t="s">
        <v>246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4"/>
    <col collapsed="false" customWidth="true" hidden="false" outlineLevel="0" max="3" min="3" style="1" width="46"/>
    <col collapsed="false" customWidth="true" hidden="false" outlineLevel="0" max="6" min="4" style="1" width="14"/>
    <col collapsed="false" customWidth="true" hidden="false" outlineLevel="0" max="7" min="7" style="1" width="13"/>
    <col collapsed="false" customWidth="true" hidden="false" outlineLevel="0" max="8" min="8" style="1" width="10"/>
    <col collapsed="false" customWidth="true" hidden="false" outlineLevel="0" max="9" min="9" style="1" width="12"/>
  </cols>
  <sheetData>
    <row r="1" customFormat="false" ht="15" hidden="false" customHeight="true" outlineLevel="0" collapsed="false">
      <c r="A1" s="12" t="s">
        <v>247</v>
      </c>
    </row>
    <row r="2" customFormat="false" ht="15" hidden="false" customHeight="true" outlineLevel="0" collapsed="false">
      <c r="A2" s="11" t="s">
        <v>248</v>
      </c>
    </row>
    <row r="4" customFormat="false" ht="15" hidden="false" customHeight="true" outlineLevel="0" collapsed="false">
      <c r="A4" s="6" t="s">
        <v>249</v>
      </c>
      <c r="B4" s="19" t="n">
        <v>0.1</v>
      </c>
    </row>
    <row r="6" customFormat="false" ht="15" hidden="false" customHeight="true" outlineLevel="0" collapsed="false">
      <c r="A6" s="42" t="s">
        <v>250</v>
      </c>
      <c r="B6" s="14" t="s">
        <v>251</v>
      </c>
      <c r="C6" s="14" t="s">
        <v>252</v>
      </c>
      <c r="D6" s="14" t="s">
        <v>253</v>
      </c>
      <c r="E6" s="14" t="s">
        <v>254</v>
      </c>
      <c r="F6" s="14" t="s">
        <v>255</v>
      </c>
      <c r="G6" s="14" t="s">
        <v>256</v>
      </c>
      <c r="H6" s="14" t="s">
        <v>257</v>
      </c>
      <c r="I6" s="14" t="s">
        <v>258</v>
      </c>
    </row>
    <row r="7" customFormat="false" ht="15" hidden="false" customHeight="true" outlineLevel="0" collapsed="false">
      <c r="A7" s="6" t="s">
        <v>159</v>
      </c>
      <c r="B7" s="24" t="n">
        <v>3749000</v>
      </c>
      <c r="C7" s="18" t="s">
        <v>259</v>
      </c>
      <c r="D7" s="43"/>
      <c r="E7" s="23" t="n">
        <f aca="false">IF(D7="",B7,D7)</f>
        <v>3749000</v>
      </c>
      <c r="F7" s="36" t="n">
        <f aca="false">'Income Statement'!D4</f>
        <v>4475446</v>
      </c>
      <c r="G7" s="23" t="n">
        <f aca="false">F7-E7</f>
        <v>726446</v>
      </c>
      <c r="H7" s="17" t="n">
        <f aca="false">IF(E7=0,"",G7/E7)</f>
        <v>0.193770605494799</v>
      </c>
      <c r="I7" s="44" t="str">
        <f aca="false">IF(H7="","",IF(ABS(H7)&gt;$B$4,"⚠ REVIEW","OK"))</f>
        <v>⚠ REVIEW</v>
      </c>
    </row>
    <row r="8" customFormat="false" ht="15" hidden="false" customHeight="true" outlineLevel="0" collapsed="false">
      <c r="A8" s="6" t="s">
        <v>162</v>
      </c>
      <c r="B8" s="24" t="n">
        <v>3075000</v>
      </c>
      <c r="C8" s="18" t="s">
        <v>260</v>
      </c>
      <c r="D8" s="43"/>
      <c r="E8" s="23" t="n">
        <f aca="false">IF(D8="",B8,D8)</f>
        <v>3075000</v>
      </c>
      <c r="F8" s="36" t="n">
        <f aca="false">'Income Statement'!D6</f>
        <v>3686269</v>
      </c>
      <c r="G8" s="23" t="n">
        <f aca="false">F8-E8</f>
        <v>611269</v>
      </c>
      <c r="H8" s="17" t="n">
        <f aca="false">IF(E8=0,"",G8/E8)</f>
        <v>0.198786666666667</v>
      </c>
      <c r="I8" s="44" t="str">
        <f aca="false">IF(H8="","",IF(ABS(H8)&gt;$B$4,"⚠ REVIEW","OK"))</f>
        <v>⚠ REVIEW</v>
      </c>
    </row>
    <row r="9" customFormat="false" ht="15" hidden="false" customHeight="true" outlineLevel="0" collapsed="false">
      <c r="A9" s="6" t="s">
        <v>167</v>
      </c>
      <c r="B9" s="24" t="n">
        <v>2150000</v>
      </c>
      <c r="C9" s="18" t="s">
        <v>260</v>
      </c>
      <c r="D9" s="43"/>
      <c r="E9" s="23" t="n">
        <f aca="false">IF(D9="",B9,D9)</f>
        <v>2150000</v>
      </c>
      <c r="F9" s="36" t="n">
        <f aca="false">'Income Statement'!D12</f>
        <v>2272254</v>
      </c>
      <c r="G9" s="23" t="n">
        <f aca="false">F9-E9</f>
        <v>122254</v>
      </c>
      <c r="H9" s="17" t="n">
        <f aca="false">IF(E9=0,"",G9/E9)</f>
        <v>0.0568623255813954</v>
      </c>
      <c r="I9" s="44" t="str">
        <f aca="false">IF(H9="","",IF(ABS(H9)&gt;$B$4,"⚠ REVIEW","OK"))</f>
        <v>OK</v>
      </c>
    </row>
    <row r="10" customFormat="false" ht="15" hidden="false" customHeight="true" outlineLevel="0" collapsed="false">
      <c r="A10" s="6" t="s">
        <v>261</v>
      </c>
      <c r="B10" s="24" t="n">
        <v>925000</v>
      </c>
      <c r="C10" s="18" t="s">
        <v>262</v>
      </c>
      <c r="D10" s="43"/>
      <c r="E10" s="23" t="n">
        <f aca="false">IF(D10="",B10,D10)</f>
        <v>925000</v>
      </c>
      <c r="F10" s="36" t="n">
        <f aca="false">'Income Statement'!D13</f>
        <v>1414015</v>
      </c>
      <c r="G10" s="23" t="n">
        <f aca="false">F10-E10</f>
        <v>489015</v>
      </c>
      <c r="H10" s="17" t="n">
        <f aca="false">IF(E10=0,"",G10/E10)</f>
        <v>0.528664864864865</v>
      </c>
      <c r="I10" s="44" t="str">
        <f aca="false">IF(H10="","",IF(ABS(H10)&gt;$B$4,"⚠ REVIEW","OK"))</f>
        <v>⚠ REVIEW</v>
      </c>
    </row>
    <row r="11" customFormat="false" ht="15" hidden="false" customHeight="true" outlineLevel="0" collapsed="false">
      <c r="A11" s="6" t="s">
        <v>263</v>
      </c>
      <c r="B11" s="24" t="n">
        <v>1050000</v>
      </c>
      <c r="C11" s="18" t="s">
        <v>260</v>
      </c>
      <c r="D11" s="43"/>
      <c r="E11" s="23" t="n">
        <f aca="false">IF(D11="",B11,D11)</f>
        <v>1050000</v>
      </c>
      <c r="F11" s="36" t="n">
        <f aca="false">'Income Statement'!D21</f>
        <v>1625033</v>
      </c>
      <c r="G11" s="23" t="n">
        <f aca="false">F11-E11</f>
        <v>575033</v>
      </c>
      <c r="H11" s="17" t="n">
        <f aca="false">IF(E11=0,"",G11/E11)</f>
        <v>0.547650476190476</v>
      </c>
      <c r="I11" s="44" t="str">
        <f aca="false">IF(H11="","",IF(ABS(H11)&gt;$B$4,"⚠ REVIEW","OK"))</f>
        <v>⚠ REVIEW</v>
      </c>
    </row>
    <row r="12" customFormat="false" ht="15" hidden="false" customHeight="true" outlineLevel="0" collapsed="false">
      <c r="A12" s="6" t="s">
        <v>264</v>
      </c>
      <c r="B12" s="24" t="n">
        <v>1559000</v>
      </c>
      <c r="C12" s="18" t="s">
        <v>265</v>
      </c>
      <c r="D12" s="43"/>
      <c r="E12" s="23" t="n">
        <f aca="false">IF(D12="",B12,D12)</f>
        <v>1559000</v>
      </c>
      <c r="F12" s="24" t="n">
        <v>2254100</v>
      </c>
      <c r="G12" s="23" t="n">
        <f aca="false">F12-E12</f>
        <v>695100</v>
      </c>
      <c r="H12" s="17" t="n">
        <f aca="false">IF(E12=0,"",G12/E12)</f>
        <v>0.445862732520847</v>
      </c>
      <c r="I12" s="44" t="str">
        <f aca="false">IF(H12="","",IF(ABS(H12)&gt;$B$4,"⚠ REVIEW","OK"))</f>
        <v>⚠ REVIEW</v>
      </c>
    </row>
    <row r="13" customFormat="false" ht="15" hidden="false" customHeight="true" outlineLevel="0" collapsed="false">
      <c r="A13" s="6" t="s">
        <v>227</v>
      </c>
      <c r="B13" s="24" t="n">
        <v>1800000</v>
      </c>
      <c r="C13" s="18" t="s">
        <v>260</v>
      </c>
      <c r="D13" s="43"/>
      <c r="E13" s="23" t="n">
        <f aca="false">IF(D13="",B13,D13)</f>
        <v>1800000</v>
      </c>
      <c r="F13" s="36" t="n">
        <f aca="false">'Cash Flow'!D14</f>
        <v>2134473</v>
      </c>
      <c r="G13" s="23" t="n">
        <f aca="false">F13-E13</f>
        <v>334473</v>
      </c>
      <c r="H13" s="17" t="n">
        <f aca="false">IF(E13=0,"",G13/E13)</f>
        <v>0.185818333333333</v>
      </c>
      <c r="I13" s="44" t="str">
        <f aca="false">IF(H13="","",IF(ABS(H13)&gt;$B$4,"⚠ REVIEW","OK"))</f>
        <v>⚠ REVIEW</v>
      </c>
    </row>
    <row r="14" customFormat="false" ht="15" hidden="false" customHeight="true" outlineLevel="0" collapsed="false">
      <c r="A14" s="6" t="s">
        <v>266</v>
      </c>
      <c r="B14" s="24" t="n">
        <v>1600000</v>
      </c>
      <c r="C14" s="18" t="s">
        <v>267</v>
      </c>
      <c r="D14" s="43"/>
      <c r="E14" s="23" t="n">
        <f aca="false">IF(D14="",B14,D14)</f>
        <v>1600000</v>
      </c>
      <c r="F14" s="24" t="n">
        <v>2270436</v>
      </c>
      <c r="G14" s="23" t="n">
        <f aca="false">F14-E14</f>
        <v>670436</v>
      </c>
      <c r="H14" s="17" t="n">
        <f aca="false">IF(E14=0,"",G14/E14)</f>
        <v>0.4190225</v>
      </c>
      <c r="I14" s="44" t="str">
        <f aca="false">IF(H14="","",IF(ABS(H14)&gt;$B$4,"⚠ REVIEW","OK"))</f>
        <v>⚠ REVIEW</v>
      </c>
    </row>
    <row r="15" customFormat="false" ht="15" hidden="false" customHeight="true" outlineLevel="0" collapsed="false">
      <c r="A15" s="6" t="s">
        <v>268</v>
      </c>
      <c r="B15" s="45" t="n">
        <v>0.42</v>
      </c>
      <c r="C15" s="18" t="s">
        <v>260</v>
      </c>
      <c r="D15" s="46"/>
      <c r="E15" s="47" t="n">
        <f aca="false">IF(D15="",B15,D15)</f>
        <v>0.42</v>
      </c>
      <c r="F15" s="38" t="n">
        <f aca="false">'Income Statement'!D24</f>
        <v>0.633492476406296</v>
      </c>
      <c r="G15" s="47" t="n">
        <f aca="false">F15-E15</f>
        <v>0.213492476406295</v>
      </c>
      <c r="H15" s="17" t="n">
        <f aca="false">IF(E15=0,"",G15/E15)</f>
        <v>0.508315420014989</v>
      </c>
      <c r="I15" s="44" t="str">
        <f aca="false">IF(H15="","",IF(ABS(H15)&gt;$B$4,"⚠ REVIEW","OK"))</f>
        <v>⚠ REVIEW</v>
      </c>
    </row>
    <row r="17" customFormat="false" ht="15" hidden="false" customHeight="true" outlineLevel="0" collapsed="false">
      <c r="A17" s="48" t="s">
        <v>269</v>
      </c>
    </row>
    <row r="18" customFormat="false" ht="15" hidden="false" customHeight="true" outlineLevel="0" collapsed="false">
      <c r="A18" s="18" t="s">
        <v>270</v>
      </c>
    </row>
    <row r="19" customFormat="false" ht="15" hidden="false" customHeight="true" outlineLevel="0" collapsed="false">
      <c r="A19" s="18" t="s">
        <v>271</v>
      </c>
    </row>
    <row r="20" customFormat="false" ht="15" hidden="false" customHeight="true" outlineLevel="0" collapsed="false">
      <c r="A20" s="18" t="s">
        <v>272</v>
      </c>
    </row>
    <row r="21" customFormat="false" ht="15" hidden="false" customHeight="true" outlineLevel="0" collapsed="false">
      <c r="A21" s="18" t="s">
        <v>273</v>
      </c>
    </row>
  </sheetData>
  <sheetProtection sheet="true" password="824d"/>
  <conditionalFormatting sqref="A7:I15">
    <cfRule type="expression" priority="2" aboveAverage="0" equalAverage="0" bottom="0" percent="0" rank="0" text="" dxfId="0">
      <formula>ABS($H7)&gt;$B$4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4"/>
    <col collapsed="false" customWidth="true" hidden="false" outlineLevel="0" max="5" min="5" style="1" width="2"/>
    <col collapsed="false" customWidth="true" hidden="false" outlineLevel="0" max="6" min="6" style="1" width="62"/>
  </cols>
  <sheetData>
    <row r="1" customFormat="false" ht="15" hidden="false" customHeight="true" outlineLevel="0" collapsed="false">
      <c r="A1" s="12" t="s">
        <v>274</v>
      </c>
    </row>
    <row r="2" customFormat="false" ht="15" hidden="false" customHeight="true" outlineLevel="0" collapsed="false">
      <c r="A2" s="11" t="s">
        <v>275</v>
      </c>
    </row>
    <row r="4" customFormat="false" ht="15" hidden="false" customHeight="true" outlineLevel="0" collapsed="false">
      <c r="A4" s="6" t="s">
        <v>276</v>
      </c>
      <c r="B4" s="49" t="s">
        <v>277</v>
      </c>
      <c r="C4" s="6" t="s">
        <v>278</v>
      </c>
      <c r="D4" s="50" t="s">
        <v>279</v>
      </c>
    </row>
    <row r="6" customFormat="false" ht="15" hidden="false" customHeight="true" outlineLevel="0" collapsed="false">
      <c r="A6" s="15" t="s">
        <v>280</v>
      </c>
    </row>
    <row r="7" customFormat="false" ht="15" hidden="false" customHeight="true" outlineLevel="0" collapsed="false">
      <c r="A7" s="6" t="s">
        <v>281</v>
      </c>
      <c r="B7" s="20" t="n">
        <v>0.0375</v>
      </c>
      <c r="F7" s="18" t="s">
        <v>282</v>
      </c>
    </row>
    <row r="8" customFormat="false" ht="15" hidden="false" customHeight="true" outlineLevel="0" collapsed="false">
      <c r="A8" s="6" t="s">
        <v>283</v>
      </c>
      <c r="B8" s="20" t="n">
        <v>0.0364</v>
      </c>
      <c r="F8" s="18" t="s">
        <v>284</v>
      </c>
    </row>
    <row r="9" customFormat="false" ht="15" hidden="false" customHeight="true" outlineLevel="0" collapsed="false">
      <c r="A9" s="6" t="s">
        <v>285</v>
      </c>
      <c r="B9" s="20" t="n">
        <v>0.0384</v>
      </c>
      <c r="F9" s="18" t="s">
        <v>286</v>
      </c>
    </row>
    <row r="10" customFormat="false" ht="15" hidden="false" customHeight="true" outlineLevel="0" collapsed="false">
      <c r="A10" s="6" t="s">
        <v>287</v>
      </c>
      <c r="B10" s="20" t="n">
        <v>0.0418</v>
      </c>
      <c r="F10" s="18" t="s">
        <v>288</v>
      </c>
    </row>
    <row r="11" customFormat="false" ht="15" hidden="false" customHeight="true" outlineLevel="0" collapsed="false">
      <c r="A11" s="6" t="s">
        <v>289</v>
      </c>
      <c r="B11" s="20" t="n">
        <v>0.0455</v>
      </c>
      <c r="F11" s="18" t="s">
        <v>288</v>
      </c>
    </row>
    <row r="12" customFormat="false" ht="15" hidden="false" customHeight="true" outlineLevel="0" collapsed="false">
      <c r="A12" s="6" t="s">
        <v>290</v>
      </c>
      <c r="B12" s="20" t="n">
        <v>0.0506</v>
      </c>
      <c r="F12" s="18" t="s">
        <v>288</v>
      </c>
    </row>
    <row r="14" customFormat="false" ht="15" hidden="false" customHeight="true" outlineLevel="0" collapsed="false">
      <c r="A14" s="15" t="s">
        <v>291</v>
      </c>
    </row>
    <row r="15" customFormat="false" ht="15" hidden="false" customHeight="true" outlineLevel="0" collapsed="false">
      <c r="A15" s="51"/>
      <c r="B15" s="51" t="s">
        <v>292</v>
      </c>
      <c r="C15" s="51" t="s">
        <v>293</v>
      </c>
      <c r="D15" s="51" t="s">
        <v>294</v>
      </c>
    </row>
    <row r="16" customFormat="false" ht="15" hidden="false" customHeight="true" outlineLevel="0" collapsed="false">
      <c r="A16" s="6" t="s">
        <v>295</v>
      </c>
      <c r="B16" s="52" t="n">
        <v>132.38</v>
      </c>
      <c r="C16" s="52" t="n">
        <v>224.26</v>
      </c>
      <c r="D16" s="52" t="n">
        <v>17.28</v>
      </c>
    </row>
    <row r="17" customFormat="false" ht="15" hidden="false" customHeight="true" outlineLevel="0" collapsed="false">
      <c r="A17" s="6" t="s">
        <v>296</v>
      </c>
      <c r="B17" s="24" t="n">
        <v>317400</v>
      </c>
      <c r="C17" s="24" t="n">
        <v>11490</v>
      </c>
      <c r="D17" s="24" t="n">
        <v>22170</v>
      </c>
    </row>
    <row r="18" customFormat="false" ht="15" hidden="false" customHeight="true" outlineLevel="0" collapsed="false">
      <c r="A18" s="6" t="s">
        <v>297</v>
      </c>
      <c r="B18" s="24" t="n">
        <v>309500</v>
      </c>
      <c r="C18" s="24" t="n">
        <v>10040</v>
      </c>
      <c r="D18" s="24" t="n">
        <v>20520</v>
      </c>
    </row>
    <row r="19" customFormat="false" ht="15" hidden="false" customHeight="true" outlineLevel="0" collapsed="false">
      <c r="A19" s="6" t="s">
        <v>298</v>
      </c>
      <c r="B19" s="53" t="n">
        <v>148.8</v>
      </c>
      <c r="C19" s="53" t="n">
        <v>119.2</v>
      </c>
      <c r="D19" s="53" t="n">
        <v>38.8</v>
      </c>
    </row>
    <row r="20" customFormat="false" ht="15" hidden="false" customHeight="true" outlineLevel="0" collapsed="false">
      <c r="A20" s="6" t="s">
        <v>299</v>
      </c>
      <c r="B20" s="53" t="n">
        <v>83.3</v>
      </c>
      <c r="C20" s="53" t="n">
        <v>16.4</v>
      </c>
      <c r="D20" s="53" t="n">
        <v>26.4</v>
      </c>
    </row>
    <row r="21" customFormat="false" ht="15" hidden="false" customHeight="true" outlineLevel="0" collapsed="false">
      <c r="A21" s="6" t="s">
        <v>300</v>
      </c>
      <c r="B21" s="53" t="n">
        <v>59.3</v>
      </c>
      <c r="C21" s="53" t="n">
        <v>3</v>
      </c>
      <c r="D21" s="53" t="n">
        <v>5.2</v>
      </c>
    </row>
    <row r="22" customFormat="false" ht="15" hidden="false" customHeight="true" outlineLevel="0" collapsed="false">
      <c r="A22" s="6" t="s">
        <v>301</v>
      </c>
      <c r="B22" s="24" t="n">
        <v>5220</v>
      </c>
      <c r="C22" s="24" t="n">
        <v>3300</v>
      </c>
      <c r="D22" s="24" t="n">
        <v>3910</v>
      </c>
    </row>
    <row r="24" customFormat="false" ht="15" hidden="false" customHeight="true" outlineLevel="0" collapsed="false">
      <c r="A24" s="15" t="s">
        <v>302</v>
      </c>
    </row>
    <row r="25" customFormat="false" ht="15" hidden="false" customHeight="true" outlineLevel="0" collapsed="false">
      <c r="A25" s="6" t="s">
        <v>303</v>
      </c>
      <c r="B25" s="54" t="n">
        <f aca="false">B21</f>
        <v>59.3</v>
      </c>
      <c r="F25" s="18" t="s">
        <v>304</v>
      </c>
    </row>
    <row r="26" customFormat="false" ht="15" hidden="false" customHeight="true" outlineLevel="0" collapsed="false">
      <c r="A26" s="6" t="s">
        <v>305</v>
      </c>
      <c r="B26" s="36" t="n">
        <f aca="false">'Income Statement'!E4</f>
        <v>7180639.4896</v>
      </c>
    </row>
    <row r="27" customFormat="false" ht="15" hidden="false" customHeight="true" outlineLevel="0" collapsed="false">
      <c r="A27" s="6" t="s">
        <v>306</v>
      </c>
      <c r="B27" s="27" t="n">
        <f aca="false">B25*B26/1000</f>
        <v>425811.92173328</v>
      </c>
    </row>
    <row r="28" customFormat="false" ht="15" hidden="false" customHeight="true" outlineLevel="0" collapsed="false">
      <c r="A28" s="6" t="s">
        <v>307</v>
      </c>
      <c r="B28" s="23" t="n">
        <f aca="false">B18</f>
        <v>309500</v>
      </c>
    </row>
    <row r="29" customFormat="false" ht="15" hidden="false" customHeight="true" outlineLevel="0" collapsed="false">
      <c r="A29" s="6" t="s">
        <v>308</v>
      </c>
      <c r="B29" s="39" t="n">
        <f aca="false">B27/B28-1</f>
        <v>0.375805886052601</v>
      </c>
    </row>
    <row r="31" customFormat="false" ht="15" hidden="false" customHeight="true" outlineLevel="0" collapsed="false">
      <c r="A31" s="6" t="s">
        <v>309</v>
      </c>
      <c r="B31" s="54" t="n">
        <f aca="false">B20</f>
        <v>83.3</v>
      </c>
      <c r="F31" s="18" t="s">
        <v>304</v>
      </c>
    </row>
    <row r="32" customFormat="false" ht="15" hidden="false" customHeight="true" outlineLevel="0" collapsed="false">
      <c r="A32" s="6" t="s">
        <v>310</v>
      </c>
      <c r="B32" s="36" t="n">
        <f aca="false">'Income Statement'!E21</f>
        <v>2813380.66089472</v>
      </c>
    </row>
    <row r="33" customFormat="false" ht="15" hidden="false" customHeight="true" outlineLevel="0" collapsed="false">
      <c r="A33" s="6" t="s">
        <v>311</v>
      </c>
      <c r="B33" s="27" t="n">
        <f aca="false">B31*B32/1000</f>
        <v>234354.60905253</v>
      </c>
    </row>
    <row r="34" customFormat="false" ht="15" hidden="false" customHeight="true" outlineLevel="0" collapsed="false">
      <c r="A34" s="6" t="s">
        <v>312</v>
      </c>
      <c r="B34" s="23" t="n">
        <f aca="false">B17</f>
        <v>317400</v>
      </c>
    </row>
    <row r="35" customFormat="false" ht="15" hidden="false" customHeight="true" outlineLevel="0" collapsed="false">
      <c r="A35" s="6" t="s">
        <v>313</v>
      </c>
      <c r="B35" s="39" t="n">
        <f aca="false">B33/B34-1</f>
        <v>-0.261642693596313</v>
      </c>
    </row>
    <row r="37" customFormat="false" ht="15" hidden="false" customHeight="true" outlineLevel="0" collapsed="false">
      <c r="A37" s="15" t="s">
        <v>314</v>
      </c>
    </row>
    <row r="38" customFormat="false" ht="15" hidden="false" customHeight="true" outlineLevel="0" collapsed="false">
      <c r="A38" s="18" t="s">
        <v>315</v>
      </c>
    </row>
    <row r="39" customFormat="false" ht="15" hidden="false" customHeight="true" outlineLevel="0" collapsed="false">
      <c r="A39" s="18" t="s">
        <v>316</v>
      </c>
    </row>
    <row r="40" customFormat="false" ht="15" hidden="false" customHeight="true" outlineLevel="0" collapsed="false">
      <c r="A40" s="18" t="s">
        <v>317</v>
      </c>
    </row>
    <row r="41" customFormat="false" ht="15" hidden="false" customHeight="true" outlineLevel="0" collapsed="false">
      <c r="A41" s="18" t="s">
        <v>318</v>
      </c>
    </row>
    <row r="42" customFormat="false" ht="15" hidden="false" customHeight="true" outlineLevel="0" collapsed="false">
      <c r="A42" s="18" t="s">
        <v>319</v>
      </c>
    </row>
    <row r="43" customFormat="false" ht="15" hidden="false" customHeight="true" outlineLevel="0" collapsed="false">
      <c r="A43" s="18" t="s">
        <v>320</v>
      </c>
    </row>
    <row r="44" customFormat="false" ht="15" hidden="false" customHeight="true" outlineLevel="0" collapsed="false">
      <c r="A44" s="18" t="s">
        <v>321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4" min="2" style="1" width="14"/>
    <col collapsed="false" customWidth="true" hidden="false" outlineLevel="0" max="5" min="5" style="1" width="13"/>
    <col collapsed="false" customWidth="true" hidden="false" outlineLevel="0" max="6" min="6" style="1" width="16"/>
    <col collapsed="false" customWidth="true" hidden="false" outlineLevel="0" max="7" min="7" style="1" width="2"/>
    <col collapsed="false" customWidth="true" hidden="false" outlineLevel="0" max="8" min="8" style="1" width="78"/>
  </cols>
  <sheetData>
    <row r="1" customFormat="false" ht="15" hidden="false" customHeight="true" outlineLevel="0" collapsed="false">
      <c r="A1" s="12" t="s">
        <v>322</v>
      </c>
    </row>
    <row r="2" customFormat="false" ht="15" hidden="false" customHeight="true" outlineLevel="0" collapsed="false">
      <c r="A2" s="11" t="s">
        <v>323</v>
      </c>
    </row>
    <row r="4" customFormat="false" ht="32.25" hidden="false" customHeight="true" outlineLevel="0" collapsed="false">
      <c r="A4" s="55" t="s">
        <v>250</v>
      </c>
      <c r="B4" s="56" t="s">
        <v>324</v>
      </c>
      <c r="C4" s="56" t="s">
        <v>325</v>
      </c>
      <c r="D4" s="56" t="s">
        <v>326</v>
      </c>
      <c r="E4" s="56" t="s">
        <v>327</v>
      </c>
      <c r="F4" s="56" t="s">
        <v>328</v>
      </c>
      <c r="G4" s="56"/>
      <c r="H4" s="55" t="s">
        <v>329</v>
      </c>
    </row>
    <row r="5" customFormat="false" ht="24" hidden="false" customHeight="true" outlineLevel="0" collapsed="false">
      <c r="A5" s="8" t="s">
        <v>330</v>
      </c>
      <c r="B5" s="33" t="n">
        <f aca="false">'Income Statement'!D4/1000</f>
        <v>4475.446</v>
      </c>
      <c r="C5" s="24" t="n">
        <v>4684</v>
      </c>
      <c r="D5" s="24" t="n">
        <v>3427</v>
      </c>
      <c r="E5" s="23" t="n">
        <f aca="false">MEDIAN(B5:D5)</f>
        <v>4475.446</v>
      </c>
      <c r="F5" s="57" t="s">
        <v>331</v>
      </c>
      <c r="H5" s="58" t="s">
        <v>332</v>
      </c>
    </row>
    <row r="6" customFormat="false" ht="24" hidden="false" customHeight="true" outlineLevel="0" collapsed="false">
      <c r="A6" s="8" t="s">
        <v>333</v>
      </c>
      <c r="B6" s="59" t="n">
        <f aca="false">'Income Statement'!D4/'Income Statement'!C4-1</f>
        <v>0.561833909322155</v>
      </c>
      <c r="C6" s="20" t="n">
        <v>0.29</v>
      </c>
      <c r="D6" s="20" t="n">
        <v>0.28</v>
      </c>
      <c r="E6" s="17" t="n">
        <f aca="false">MEDIAN(B6:D6)</f>
        <v>0.29</v>
      </c>
      <c r="F6" s="20" t="n">
        <v>0.13</v>
      </c>
      <c r="H6" s="58" t="s">
        <v>334</v>
      </c>
    </row>
    <row r="7" customFormat="false" ht="24" hidden="false" customHeight="true" outlineLevel="0" collapsed="false">
      <c r="A7" s="8" t="s">
        <v>335</v>
      </c>
      <c r="B7" s="59" t="n">
        <f aca="false">'Income Statement'!E4/'Income Statement'!D4-1</f>
        <v>0.604452269025255</v>
      </c>
      <c r="C7" s="60" t="s">
        <v>336</v>
      </c>
      <c r="D7" s="60" t="s">
        <v>336</v>
      </c>
      <c r="F7" s="57" t="s">
        <v>331</v>
      </c>
      <c r="H7" s="58" t="s">
        <v>337</v>
      </c>
    </row>
    <row r="8" customFormat="false" ht="24" hidden="false" customHeight="true" outlineLevel="0" collapsed="false">
      <c r="A8" s="8" t="s">
        <v>338</v>
      </c>
      <c r="B8" s="59" t="n">
        <f aca="false">'Income Statement'!D6/'Income Statement'!D4</f>
        <v>0.823665172141503</v>
      </c>
      <c r="C8" s="20" t="n">
        <v>0.672</v>
      </c>
      <c r="D8" s="20" t="n">
        <v>0.8</v>
      </c>
      <c r="E8" s="17" t="n">
        <f aca="false">MEDIAN(B8:D8)</f>
        <v>0.8</v>
      </c>
      <c r="F8" s="20" t="n">
        <v>0.76</v>
      </c>
      <c r="H8" s="58" t="s">
        <v>339</v>
      </c>
    </row>
    <row r="9" customFormat="false" ht="24" hidden="false" customHeight="true" outlineLevel="0" collapsed="false">
      <c r="A9" s="8" t="s">
        <v>340</v>
      </c>
      <c r="B9" s="59" t="n">
        <f aca="false">'Income Statement'!D13/'Income Statement'!D4</f>
        <v>0.315949516539804</v>
      </c>
      <c r="C9" s="20" t="n">
        <v>-0.31</v>
      </c>
      <c r="D9" s="20" t="n">
        <v>-0.01</v>
      </c>
      <c r="E9" s="17" t="n">
        <f aca="false">MEDIAN(B9:D9)</f>
        <v>-0.01</v>
      </c>
      <c r="F9" s="20" t="n">
        <v>0.02</v>
      </c>
      <c r="H9" s="58" t="s">
        <v>341</v>
      </c>
    </row>
    <row r="10" customFormat="false" ht="24" hidden="false" customHeight="true" outlineLevel="0" collapsed="false">
      <c r="A10" s="8" t="s">
        <v>342</v>
      </c>
      <c r="B10" s="59" t="n">
        <f aca="false">('Cash Flow'!D14+'Cash Flow'!D17)/'Income Statement'!D4</f>
        <v>0.469359031479768</v>
      </c>
      <c r="C10" s="20" t="n">
        <v>0.25</v>
      </c>
      <c r="D10" s="20" t="n">
        <v>0.27</v>
      </c>
      <c r="E10" s="17" t="n">
        <f aca="false">MEDIAN(B10:D10)</f>
        <v>0.27</v>
      </c>
      <c r="F10" s="20" t="n">
        <v>0.21</v>
      </c>
      <c r="H10" s="58" t="s">
        <v>343</v>
      </c>
    </row>
    <row r="11" customFormat="false" ht="24" hidden="false" customHeight="true" outlineLevel="0" collapsed="false">
      <c r="A11" s="8" t="s">
        <v>344</v>
      </c>
      <c r="B11" s="39" t="n">
        <f aca="false">B6+B10</f>
        <v>1.03119294080192</v>
      </c>
      <c r="C11" s="17" t="n">
        <f aca="false">C6+C10</f>
        <v>0.54</v>
      </c>
      <c r="D11" s="17" t="n">
        <f aca="false">D6+D10</f>
        <v>0.55</v>
      </c>
      <c r="E11" s="17" t="n">
        <f aca="false">MEDIAN(B11:D11)</f>
        <v>0.55</v>
      </c>
      <c r="F11" s="20" t="n">
        <v>0.34</v>
      </c>
      <c r="H11" s="58" t="s">
        <v>345</v>
      </c>
    </row>
    <row r="12" customFormat="false" ht="24" hidden="false" customHeight="true" outlineLevel="0" collapsed="false">
      <c r="A12" s="8" t="s">
        <v>346</v>
      </c>
      <c r="B12" s="61" t="n">
        <f aca="false">'Market Inputs'!B18/'Market Inputs'!B22</f>
        <v>59.2911877394636</v>
      </c>
      <c r="C12" s="53" t="n">
        <v>18.2</v>
      </c>
      <c r="D12" s="53" t="n">
        <v>24.1</v>
      </c>
      <c r="E12" s="62" t="n">
        <f aca="false">MEDIAN(B12:D12)</f>
        <v>24.1</v>
      </c>
      <c r="F12" s="53" t="n">
        <v>20.3</v>
      </c>
      <c r="H12" s="58" t="s">
        <v>347</v>
      </c>
    </row>
    <row r="13" customFormat="false" ht="24" hidden="false" customHeight="true" outlineLevel="0" collapsed="false">
      <c r="A13" s="8" t="s">
        <v>348</v>
      </c>
      <c r="B13" s="61" t="n">
        <f aca="false">'Market Inputs'!B20</f>
        <v>83.3</v>
      </c>
      <c r="C13" s="53" t="n">
        <v>127.2</v>
      </c>
      <c r="D13" s="53" t="n">
        <v>105</v>
      </c>
      <c r="E13" s="62" t="n">
        <f aca="false">MEDIAN(B13:D13)</f>
        <v>105</v>
      </c>
      <c r="F13" s="63" t="s">
        <v>349</v>
      </c>
      <c r="H13" s="58" t="s">
        <v>350</v>
      </c>
    </row>
    <row r="15" customFormat="false" ht="15" hidden="false" customHeight="true" outlineLevel="0" collapsed="false">
      <c r="A15" s="15" t="s">
        <v>351</v>
      </c>
    </row>
    <row r="16" customFormat="false" ht="15" hidden="false" customHeight="true" outlineLevel="0" collapsed="false">
      <c r="A16" s="18" t="s">
        <v>352</v>
      </c>
    </row>
    <row r="17" customFormat="false" ht="15" hidden="false" customHeight="true" outlineLevel="0" collapsed="false">
      <c r="A17" s="18" t="s">
        <v>353</v>
      </c>
    </row>
    <row r="19" customFormat="false" ht="15" hidden="false" customHeight="true" outlineLevel="0" collapsed="false">
      <c r="A19" s="15" t="s">
        <v>354</v>
      </c>
    </row>
    <row r="20" customFormat="false" ht="15" hidden="false" customHeight="true" outlineLevel="0" collapsed="false">
      <c r="A20" s="8" t="s">
        <v>355</v>
      </c>
    </row>
    <row r="21" customFormat="false" ht="15" hidden="false" customHeight="true" outlineLevel="0" collapsed="false">
      <c r="A21" s="8" t="s">
        <v>356</v>
      </c>
    </row>
    <row r="22" customFormat="false" ht="15" hidden="false" customHeight="true" outlineLevel="0" collapsed="false">
      <c r="A22" s="8" t="s">
        <v>357</v>
      </c>
    </row>
    <row r="24" customFormat="false" ht="15" hidden="false" customHeight="true" outlineLevel="0" collapsed="false">
      <c r="A24" s="18" t="s">
        <v>358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78"/>
    <col collapsed="false" customWidth="true" hidden="false" outlineLevel="0" max="5" min="5" style="1" width="60"/>
  </cols>
  <sheetData>
    <row r="1" customFormat="false" ht="15" hidden="false" customHeight="true" outlineLevel="0" collapsed="false">
      <c r="A1" s="12" t="s">
        <v>359</v>
      </c>
    </row>
    <row r="2" customFormat="false" ht="15" hidden="false" customHeight="true" outlineLevel="0" collapsed="false">
      <c r="A2" s="11" t="s">
        <v>360</v>
      </c>
    </row>
    <row r="4" customFormat="false" ht="15" hidden="false" customHeight="true" outlineLevel="0" collapsed="false">
      <c r="A4" s="42" t="s">
        <v>361</v>
      </c>
      <c r="B4" s="42" t="s">
        <v>362</v>
      </c>
      <c r="C4" s="42" t="s">
        <v>363</v>
      </c>
      <c r="D4" s="42" t="s">
        <v>364</v>
      </c>
      <c r="E4" s="42" t="s">
        <v>365</v>
      </c>
    </row>
    <row r="5" customFormat="false" ht="33.75" hidden="false" customHeight="true" outlineLevel="0" collapsed="false">
      <c r="A5" s="64" t="s">
        <v>366</v>
      </c>
      <c r="B5" s="64" t="s">
        <v>367</v>
      </c>
      <c r="C5" s="64" t="s">
        <v>368</v>
      </c>
      <c r="D5" s="65" t="s">
        <v>369</v>
      </c>
      <c r="E5" s="65" t="s">
        <v>370</v>
      </c>
    </row>
    <row r="6" customFormat="false" ht="33.75" hidden="false" customHeight="true" outlineLevel="0" collapsed="false">
      <c r="A6" s="64" t="s">
        <v>371</v>
      </c>
      <c r="B6" s="64" t="s">
        <v>372</v>
      </c>
      <c r="C6" s="64" t="s">
        <v>368</v>
      </c>
      <c r="D6" s="65" t="s">
        <v>373</v>
      </c>
      <c r="E6" s="65" t="s">
        <v>374</v>
      </c>
    </row>
    <row r="7" customFormat="false" ht="33.75" hidden="false" customHeight="true" outlineLevel="0" collapsed="false">
      <c r="A7" s="64" t="s">
        <v>375</v>
      </c>
      <c r="B7" s="64" t="s">
        <v>372</v>
      </c>
      <c r="C7" s="64" t="s">
        <v>368</v>
      </c>
      <c r="D7" s="65" t="s">
        <v>376</v>
      </c>
      <c r="E7" s="65" t="s">
        <v>377</v>
      </c>
    </row>
    <row r="8" customFormat="false" ht="33.75" hidden="false" customHeight="true" outlineLevel="0" collapsed="false">
      <c r="A8" s="64" t="s">
        <v>378</v>
      </c>
      <c r="B8" s="64" t="s">
        <v>372</v>
      </c>
      <c r="C8" s="64" t="s">
        <v>368</v>
      </c>
      <c r="D8" s="65" t="s">
        <v>379</v>
      </c>
      <c r="E8" s="65" t="s">
        <v>380</v>
      </c>
    </row>
    <row r="9" customFormat="false" ht="33.75" hidden="false" customHeight="true" outlineLevel="0" collapsed="false">
      <c r="A9" s="64" t="s">
        <v>381</v>
      </c>
      <c r="B9" s="64" t="s">
        <v>372</v>
      </c>
      <c r="C9" s="64" t="s">
        <v>368</v>
      </c>
      <c r="D9" s="65" t="s">
        <v>382</v>
      </c>
      <c r="E9" s="65" t="s">
        <v>383</v>
      </c>
    </row>
    <row r="10" customFormat="false" ht="33.75" hidden="false" customHeight="true" outlineLevel="0" collapsed="false">
      <c r="A10" s="64" t="s">
        <v>384</v>
      </c>
      <c r="B10" s="64" t="s">
        <v>372</v>
      </c>
      <c r="C10" s="64" t="s">
        <v>368</v>
      </c>
      <c r="D10" s="65" t="s">
        <v>385</v>
      </c>
      <c r="E10" s="65" t="s">
        <v>386</v>
      </c>
    </row>
    <row r="11" customFormat="false" ht="33.75" hidden="false" customHeight="true" outlineLevel="0" collapsed="false">
      <c r="A11" s="64" t="s">
        <v>387</v>
      </c>
      <c r="B11" s="64" t="s">
        <v>372</v>
      </c>
      <c r="C11" s="64" t="s">
        <v>368</v>
      </c>
      <c r="D11" s="65" t="s">
        <v>388</v>
      </c>
      <c r="E11" s="65" t="s">
        <v>389</v>
      </c>
    </row>
    <row r="12" customFormat="false" ht="33.75" hidden="false" customHeight="true" outlineLevel="0" collapsed="false">
      <c r="A12" s="64" t="s">
        <v>390</v>
      </c>
      <c r="B12" s="64" t="s">
        <v>372</v>
      </c>
      <c r="C12" s="64" t="s">
        <v>368</v>
      </c>
      <c r="D12" s="65" t="s">
        <v>391</v>
      </c>
      <c r="E12" s="65" t="s">
        <v>392</v>
      </c>
    </row>
    <row r="13" customFormat="false" ht="33.75" hidden="false" customHeight="true" outlineLevel="0" collapsed="false">
      <c r="A13" s="66" t="s">
        <v>393</v>
      </c>
      <c r="B13" s="66" t="s">
        <v>372</v>
      </c>
      <c r="C13" s="66" t="s">
        <v>368</v>
      </c>
      <c r="D13" s="65" t="s">
        <v>394</v>
      </c>
      <c r="E13" s="65" t="s">
        <v>395</v>
      </c>
    </row>
    <row r="14" customFormat="false" ht="30" hidden="false" customHeight="true" outlineLevel="0" collapsed="false">
      <c r="A14" s="64" t="s">
        <v>396</v>
      </c>
      <c r="B14" s="64" t="s">
        <v>372</v>
      </c>
      <c r="C14" s="64" t="s">
        <v>368</v>
      </c>
      <c r="D14" s="67" t="s">
        <v>397</v>
      </c>
      <c r="E14" s="67" t="s">
        <v>398</v>
      </c>
    </row>
    <row r="16" customFormat="false" ht="15" hidden="false" customHeight="true" outlineLevel="0" collapsed="false">
      <c r="A16" s="18" t="s">
        <v>399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30"/>
    <col collapsed="false" customWidth="true" hidden="false" outlineLevel="0" max="3" min="3" style="1" width="56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2" t="s">
        <v>400</v>
      </c>
    </row>
    <row r="2" customFormat="false" ht="15" hidden="false" customHeight="true" outlineLevel="0" collapsed="false">
      <c r="A2" s="11" t="s">
        <v>401</v>
      </c>
    </row>
    <row r="4" customFormat="false" ht="15" hidden="false" customHeight="true" outlineLevel="0" collapsed="false">
      <c r="A4" s="68" t="s">
        <v>402</v>
      </c>
      <c r="B4" s="68" t="s">
        <v>403</v>
      </c>
      <c r="C4" s="68" t="s">
        <v>404</v>
      </c>
      <c r="D4" s="68" t="s">
        <v>405</v>
      </c>
      <c r="E4" s="68" t="s">
        <v>406</v>
      </c>
      <c r="F4" s="68" t="s">
        <v>407</v>
      </c>
    </row>
    <row r="5" customFormat="false" ht="15" hidden="false" customHeight="true" outlineLevel="0" collapsed="false">
      <c r="A5" s="69" t="s">
        <v>408</v>
      </c>
      <c r="B5" s="70"/>
      <c r="C5" s="70"/>
      <c r="D5" s="70"/>
      <c r="E5" s="70"/>
      <c r="F5" s="70"/>
    </row>
    <row r="6" customFormat="false" ht="30" hidden="false" customHeight="true" outlineLevel="0" collapsed="false">
      <c r="A6" s="65" t="s">
        <v>409</v>
      </c>
      <c r="B6" s="65" t="s">
        <v>410</v>
      </c>
      <c r="C6" s="65" t="s">
        <v>411</v>
      </c>
      <c r="D6" s="71" t="str">
        <f aca="false">HYPERLINK("https://www.sec.gov/Archives/edgar/data/1321655/000132165526000004/a2025q4ex991earningsrelease.htm","Open ↗")</f>
        <v>Open ↗</v>
      </c>
      <c r="E6" s="65" t="s">
        <v>367</v>
      </c>
      <c r="F6" s="72" t="s">
        <v>412</v>
      </c>
    </row>
    <row r="7" customFormat="false" ht="30" hidden="false" customHeight="true" outlineLevel="0" collapsed="false">
      <c r="A7" s="65" t="s">
        <v>413</v>
      </c>
      <c r="B7" s="65" t="s">
        <v>410</v>
      </c>
      <c r="C7" s="65" t="s">
        <v>414</v>
      </c>
      <c r="D7" s="71" t="str">
        <f aca="false">HYPERLINK("https://www.sec.gov/Archives/edgar/data/1321655/000132165525000007/a2024q4ex991earningsrelease.htm","Open ↗")</f>
        <v>Open ↗</v>
      </c>
      <c r="E7" s="65" t="s">
        <v>367</v>
      </c>
      <c r="F7" s="72" t="s">
        <v>415</v>
      </c>
    </row>
    <row r="8" customFormat="false" ht="30" hidden="false" customHeight="true" outlineLevel="0" collapsed="false">
      <c r="A8" s="65" t="s">
        <v>416</v>
      </c>
      <c r="B8" s="65" t="s">
        <v>417</v>
      </c>
      <c r="C8" s="65" t="s">
        <v>418</v>
      </c>
      <c r="D8" s="71" t="str">
        <f aca="false">HYPERLINK("https://www.sec.gov/Archives/edgar/data/1321655/000132165526000011/R70.htm","Open ↗")</f>
        <v>Open ↗</v>
      </c>
      <c r="E8" s="65" t="s">
        <v>372</v>
      </c>
      <c r="F8" s="72" t="s">
        <v>419</v>
      </c>
    </row>
    <row r="9" customFormat="false" ht="30" hidden="false" customHeight="true" outlineLevel="0" collapsed="false">
      <c r="A9" s="65" t="s">
        <v>420</v>
      </c>
      <c r="B9" s="65" t="s">
        <v>421</v>
      </c>
      <c r="C9" s="65" t="s">
        <v>422</v>
      </c>
      <c r="D9" s="71" t="str">
        <f aca="false">HYPERLINK("https://investors.palantir.com/files/Palantir%20-%20Q4%202025%20Investor%20Presentation.pdf","Open ↗")</f>
        <v>Open ↗</v>
      </c>
      <c r="E9" s="65" t="s">
        <v>372</v>
      </c>
      <c r="F9" s="72" t="s">
        <v>423</v>
      </c>
    </row>
    <row r="10" customFormat="false" ht="15" hidden="false" customHeight="true" outlineLevel="0" collapsed="false">
      <c r="A10" s="69" t="s">
        <v>424</v>
      </c>
      <c r="B10" s="70"/>
      <c r="C10" s="70"/>
      <c r="D10" s="70"/>
      <c r="E10" s="70"/>
      <c r="F10" s="70"/>
    </row>
    <row r="11" customFormat="false" ht="30" hidden="false" customHeight="true" outlineLevel="0" collapsed="false">
      <c r="A11" s="65" t="s">
        <v>425</v>
      </c>
      <c r="B11" s="65" t="s">
        <v>426</v>
      </c>
      <c r="C11" s="65" t="s">
        <v>427</v>
      </c>
      <c r="D11" s="71" t="str">
        <f aca="false">HYPERLINK("https://www.sec.gov/Archives/edgar/data/1321655/000132165525000007/a2024q4ex991earningsrelease.htm","Open ↗")</f>
        <v>Open ↗</v>
      </c>
      <c r="E11" s="65" t="s">
        <v>372</v>
      </c>
      <c r="F11" s="72" t="s">
        <v>428</v>
      </c>
    </row>
    <row r="12" customFormat="false" ht="15" hidden="false" customHeight="true" outlineLevel="0" collapsed="false">
      <c r="A12" s="69" t="s">
        <v>429</v>
      </c>
      <c r="B12" s="70"/>
      <c r="C12" s="70"/>
      <c r="D12" s="70"/>
      <c r="E12" s="70"/>
      <c r="F12" s="70"/>
    </row>
    <row r="13" customFormat="false" ht="30" hidden="false" customHeight="true" outlineLevel="0" collapsed="false">
      <c r="A13" s="65" t="s">
        <v>430</v>
      </c>
      <c r="B13" s="65" t="s">
        <v>431</v>
      </c>
      <c r="C13" s="65" t="s">
        <v>432</v>
      </c>
      <c r="D13" s="71" t="str">
        <f aca="false">HYPERLINK("https://home.treasury.gov/resource-center/data-chart-center/interest-rates/","Open ↗")</f>
        <v>Open ↗</v>
      </c>
      <c r="E13" s="65" t="s">
        <v>433</v>
      </c>
      <c r="F13" s="72" t="s">
        <v>434</v>
      </c>
    </row>
    <row r="14" customFormat="false" ht="30" hidden="false" customHeight="true" outlineLevel="0" collapsed="false">
      <c r="A14" s="65" t="s">
        <v>435</v>
      </c>
      <c r="B14" s="65" t="s">
        <v>431</v>
      </c>
      <c r="C14" s="65" t="s">
        <v>436</v>
      </c>
      <c r="D14" s="71" t="str">
        <f aca="false">HYPERLINK("https://www.newyorkfed.org/markets/reference-rates/sofr","Open ↗")</f>
        <v>Open ↗</v>
      </c>
      <c r="E14" s="65" t="s">
        <v>433</v>
      </c>
      <c r="F14" s="72" t="s">
        <v>437</v>
      </c>
    </row>
    <row r="15" customFormat="false" ht="30" hidden="false" customHeight="true" outlineLevel="0" collapsed="false">
      <c r="A15" s="65" t="s">
        <v>438</v>
      </c>
      <c r="B15" s="65" t="s">
        <v>439</v>
      </c>
      <c r="C15" s="65" t="s">
        <v>440</v>
      </c>
      <c r="D15" s="71" t="str">
        <f aca="false">HYPERLINK("https://stockanalysis.com/stocks/pltr/statistics/","Open ↗")</f>
        <v>Open ↗</v>
      </c>
      <c r="E15" s="65" t="s">
        <v>433</v>
      </c>
      <c r="F15" s="72" t="s">
        <v>441</v>
      </c>
    </row>
    <row r="16" customFormat="false" ht="15" hidden="false" customHeight="true" outlineLevel="0" collapsed="false">
      <c r="A16" s="69" t="s">
        <v>442</v>
      </c>
      <c r="B16" s="70"/>
      <c r="C16" s="70"/>
      <c r="D16" s="70"/>
      <c r="E16" s="70"/>
      <c r="F16" s="70"/>
    </row>
    <row r="17" customFormat="false" ht="30" hidden="false" customHeight="true" outlineLevel="0" collapsed="false">
      <c r="A17" s="65" t="s">
        <v>443</v>
      </c>
      <c r="B17" s="65" t="s">
        <v>444</v>
      </c>
      <c r="C17" s="65" t="s">
        <v>445</v>
      </c>
      <c r="D17" s="71" t="str">
        <f aca="false">HYPERLINK("https://www.sec.gov/Archives/edgar/data/1640147/000162828026011631/fy2026q4earnings.htm","Open ↗")</f>
        <v>Open ↗</v>
      </c>
      <c r="E17" s="65" t="s">
        <v>372</v>
      </c>
      <c r="F17" s="72" t="s">
        <v>446</v>
      </c>
    </row>
    <row r="18" customFormat="false" ht="30" hidden="false" customHeight="true" outlineLevel="0" collapsed="false">
      <c r="A18" s="65" t="s">
        <v>447</v>
      </c>
      <c r="B18" s="65" t="s">
        <v>444</v>
      </c>
      <c r="C18" s="65" t="s">
        <v>448</v>
      </c>
      <c r="D18" s="71" t="str">
        <f aca="false">HYPERLINK("https://investors.datadoghq.com/news-releases/news-release-details/datadog-announces-fourth-quarter-and-fiscal-year-2025-financial/","Open ↗")</f>
        <v>Open ↗</v>
      </c>
      <c r="E18" s="65" t="s">
        <v>372</v>
      </c>
      <c r="F18" s="72" t="s">
        <v>446</v>
      </c>
    </row>
    <row r="19" customFormat="false" ht="30" hidden="false" customHeight="true" outlineLevel="0" collapsed="false">
      <c r="A19" s="65" t="s">
        <v>449</v>
      </c>
      <c r="B19" s="65" t="s">
        <v>444</v>
      </c>
      <c r="C19" s="65" t="s">
        <v>450</v>
      </c>
      <c r="D19" s="71" t="str">
        <f aca="false">HYPERLINK("https://cloudedjudgement.substack.com/p/clouded-judgement-71026-own-your","Open ↗")</f>
        <v>Open ↗</v>
      </c>
      <c r="E19" s="65" t="s">
        <v>451</v>
      </c>
      <c r="F19" s="72" t="s">
        <v>452</v>
      </c>
    </row>
    <row r="20" customFormat="false" ht="15" hidden="false" customHeight="true" outlineLevel="0" collapsed="false">
      <c r="A20" s="69" t="s">
        <v>453</v>
      </c>
      <c r="B20" s="70"/>
      <c r="C20" s="70"/>
      <c r="D20" s="70"/>
      <c r="E20" s="70"/>
      <c r="F20" s="70"/>
    </row>
    <row r="21" customFormat="false" ht="30" hidden="false" customHeight="true" outlineLevel="0" collapsed="false">
      <c r="A21" s="65" t="s">
        <v>454</v>
      </c>
      <c r="B21" s="65" t="s">
        <v>455</v>
      </c>
      <c r="C21" s="65" t="s">
        <v>456</v>
      </c>
      <c r="D21" s="73" t="s">
        <v>331</v>
      </c>
      <c r="E21" s="65" t="s">
        <v>372</v>
      </c>
      <c r="F21" s="72" t="s">
        <v>457</v>
      </c>
    </row>
    <row r="23" customFormat="false" ht="15" hidden="false" customHeight="true" outlineLevel="0" collapsed="false">
      <c r="A23" s="18" t="s">
        <v>458</v>
      </c>
    </row>
  </sheetData>
  <sheetProtection sheet="true" password="824d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2026-07-20T06:41:25Z</dcterms:created>
  <dc:creator>openpyxl</dc:creator>
  <dc:description/>
  <dc:language>en-US</dc:language>
  <cp:lastModifiedBy/>
  <dcterms:modified xsi:type="dcterms:W3CDTF">2026-07-20T09:32:59Z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