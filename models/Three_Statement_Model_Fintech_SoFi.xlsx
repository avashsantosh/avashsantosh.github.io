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 workbookPassword="824D" lockStructure="1"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evenue Drivers" sheetId="3" state="visible" r:id="rId5"/>
    <sheet name="Regional Breakdown" sheetId="4" state="visible" r:id="rId6"/>
    <sheet name="Income Statement" sheetId="5" state="visible" r:id="rId7"/>
    <sheet name="Balance Sheet" sheetId="6" state="visible" r:id="rId8"/>
    <sheet name="Cash Flow" sheetId="7" state="visible" r:id="rId9"/>
    <sheet name="Budget vs Actual" sheetId="8" state="visible" r:id="rId10"/>
    <sheet name="Market Inputs" sheetId="9" state="visible" r:id="rId11"/>
    <sheet name="Competitor Benchmarking" sheetId="10" state="visible" r:id="rId12"/>
    <sheet name="Version History" sheetId="11" state="visible" r:id="rId13"/>
    <sheet name="Sourc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<sst xmlns="http://schemas.openxmlformats.org/spreadsheetml/2006/main" count="555" uniqueCount="468">
  <si>
    <t xml:space="preserve">SOFI TECHNOLOGIES, INC.  (NASDAQ: SOFI)</t>
  </si>
  <si>
    <t xml:space="preserve">Three-Statement Financial Model — Fintech — Digital Banking &amp; Lending (Bank Holding Company)</t>
  </si>
  <si>
    <t xml:space="preserve">Integrated Income Statement · Balance Sheet · Cash Flow · driver-based forecast · regional scenarios · live market data</t>
  </si>
  <si>
    <t xml:space="preserve">AUTHOR &amp; VERSION</t>
  </si>
  <si>
    <t xml:space="preserve">Prepared by:  Avash Pardhootman</t>
  </si>
  <si>
    <t xml:space="preserve">Date:  July 2026   ·   Model version: 1.7 (see Version History)   ·   Units: USD thousands, except per-share</t>
  </si>
  <si>
    <t xml:space="preserve">Periods:  FY2023–FY2025 actual (per SEC filings) · FY2026–FY2030 forecast</t>
  </si>
  <si>
    <t xml:space="preserve">QUICK LINKS</t>
  </si>
  <si>
    <t xml:space="preserve">CONTENTS</t>
  </si>
  <si>
    <t xml:space="preserve">HOW TO USE THIS MODEL</t>
  </si>
  <si>
    <t xml:space="preserve">1.  Start on the Revenue Drivers and Assumptions tabs — every blue cell is an input; yellow cells are the key levers.</t>
  </si>
  <si>
    <t xml:space="preserve">2.  Flip the scenario selector on Regional Breakdown (1 = Standard · 2 = Best Case · 3 = Low Case) — the whole model re-runs, including EPS, cash and the benchmarking tab.</t>
  </si>
  <si>
    <t xml:space="preserve">3.  Check Budget vs Actual for FY2025 performance vs guidance; rows over the 10% threshold flag automatically.</t>
  </si>
  <si>
    <t xml:space="preserve">4.  Keep market data current: run refresh_market_data.py in this folder (or use the dashboard ⟳ button) — stamps update on Market Inputs and the refresh is logged in Version History.</t>
  </si>
  <si>
    <t xml:space="preserve">5.  For a browser walkthrough or a one-page memo, open Finance_AI_Dashboard.html and use Export memo (PDF).</t>
  </si>
  <si>
    <t xml:space="preserve">MODEL NOTES</t>
  </si>
  <si>
    <t xml:space="preserve">•  FY2023–FY2025 as reported; bank-style statement structure (net interest income + noninterest income, provision below net revenue per current presentation).</t>
  </si>
  <si>
    <t xml:space="preserve">•  Fee revenue is built from originations × take rates on the Revenue Drivers tab; delinquency and charge-off trends inform the provision.</t>
  </si>
  <si>
    <t xml:space="preserve">•  FY2024 tax benefit reflects a one-time valuation-allowance release; forecast normalizes at 25%. Balance sheet balances in all periods under every scenario.</t>
  </si>
  <si>
    <t xml:space="preserve">COLOR CONVENTIONS</t>
  </si>
  <si>
    <t xml:space="preserve">Blue — hardcoded input (historical figures as reported; forecast assumptions)</t>
  </si>
  <si>
    <t xml:space="preserve">Black — formula / calculation          Green — direct link to another sheet</t>
  </si>
  <si>
    <t xml:space="preserve">Yellow fill — key assumption levers to flex</t>
  </si>
  <si>
    <t xml:space="preserve">Every data input is cited on the Sources tab, with links and last-updated dates.</t>
  </si>
  <si>
    <t xml:space="preserve">SoFi Technologies, Inc. — Forecast Assumptions</t>
  </si>
  <si>
    <t xml:space="preserve">(USD in thousands, except per-share amounts) · FY2023A–FY2025A per SEC filings · FY2026E–FY2030E forecast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</si>
  <si>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</si>
  <si>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</si>
  <si>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</si>
  <si>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</si>
  <si>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</si>
  <si>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</si>
  <si>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</si>
  <si>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</si>
  <si>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Balance sheet growth drivers</t>
  </si>
  <si>
    <t xml:space="preserve">    Interest-bearing deposit growth %</t>
  </si>
  <si>
    <t xml:space="preserve">SoFi Money momentum moderates from FY25's 44.6%; funds loan growth</t>
  </si>
  <si>
    <t xml:space="preserve">    Loans held for sale growth %</t>
  </si>
  <si>
    <t xml:space="preserve">Personal-loan originations; loan platform business shifts volume off balance sheet</t>
  </si>
  <si>
    <t xml:space="preserve">    Loans held for investment (fair value) growth %</t>
  </si>
  <si>
    <t xml:space="preserve">    Loans held for investment (amortized cost) growth %</t>
  </si>
  <si>
    <t xml:space="preserve">    Investment securities growth %</t>
  </si>
  <si>
    <t xml:space="preserve">    Servicing rights growth %</t>
  </si>
  <si>
    <t xml:space="preserve">Income statement drivers</t>
  </si>
  <si>
    <t xml:space="preserve">    Interest income yield on beginning earning assets %</t>
  </si>
  <si>
    <t xml:space="preserve">Beginning-of-year loans + securities + cash (avoids circularity); rate-cut drift</t>
  </si>
  <si>
    <t xml:space="preserve">    Interest expense rate on beginning funding %</t>
  </si>
  <si>
    <t xml:space="preserve">Deposits replace higher-cost warehouse funding</t>
  </si>
  <si>
    <t xml:space="preserve">    Loan origination/sales/servicing income growth % — OUTPUT (driven by Revenue Drivers tab)</t>
  </si>
  <si>
    <t xml:space="preserve">    Technology products &amp; solutions growth %</t>
  </si>
  <si>
    <t xml:space="preserve">    Loan platform fees growth % — OUTPUT (driven by Revenue Drivers tab)</t>
  </si>
  <si>
    <t xml:space="preserve">Capital-light third-party origination platform; FY25 grew 307%</t>
  </si>
  <si>
    <t xml:space="preserve">    Other noninterest income growth %</t>
  </si>
  <si>
    <t xml:space="preserve">    Provision % of beginning amortized-cost loans — OUTPUT (driven by Revenue Drivers tab)</t>
  </si>
  <si>
    <t xml:space="preserve">    Technology &amp; product development % of net revenue</t>
  </si>
  <si>
    <t xml:space="preserve">    Sales &amp; marketing % of net revenue</t>
  </si>
  <si>
    <t xml:space="preserve">    Cost of operations % of net revenue</t>
  </si>
  <si>
    <t xml:space="preserve">    General &amp; administrative % of net revenue</t>
  </si>
  <si>
    <t xml:space="preserve">    Effective tax rate %</t>
  </si>
  <si>
    <t xml:space="preserve">FY24 rate not meaningful (large one-time deferred tax valuation allowance release)</t>
  </si>
  <si>
    <t xml:space="preserve">    Share-based compensation % of net revenue</t>
  </si>
  <si>
    <t xml:space="preserve">    Depreciation &amp; amortization % of net revenue</t>
  </si>
  <si>
    <t xml:space="preserve">    Capex (incl. capitalized software) % of net revenue</t>
  </si>
  <si>
    <t xml:space="preserve">    Diluted share count growth %</t>
  </si>
  <si>
    <t xml:space="preserve">Other balance sheet drivers</t>
  </si>
  <si>
    <t xml:space="preserve">    Other assets % of net revenue</t>
  </si>
  <si>
    <t xml:space="preserve">Includes loan platform program receivables; scales with fee business</t>
  </si>
  <si>
    <t xml:space="preserve">    AP, accruals &amp; other liabilities % of net revenue</t>
  </si>
  <si>
    <t xml:space="preserve">    Debt balance ($000s, input)</t>
  </si>
  <si>
    <t xml:space="preserve">Continued paydown of warehouse facilities as deposits fund the balance sheet</t>
  </si>
  <si>
    <t xml:space="preserve">Historical columns compute actual ratios from the statement tabs; forecast columns (blue) are inputs.</t>
  </si>
  <si>
    <t xml:space="preserve">Restricted cash, goodwill, intangibles, leases and noninterest-bearing deposits held flat in the forecast.</t>
  </si>
  <si>
    <t xml:space="preserve">SoFi Technologies, Inc. — Revenue Drivers (Fintech)</t>
  </si>
  <si>
    <t xml:space="preserve">Origination-driven fee &amp; credit build (volumes in $ millions; income in USD thousands) · drives loan fee lines and provision on the Income Statement</t>
  </si>
  <si>
    <t xml:space="preserve">Loan originations ($ millions)</t>
  </si>
  <si>
    <t xml:space="preserve">    Personal loan originations</t>
  </si>
  <si>
    <t xml:space="preserve">        Personal origination growth %</t>
  </si>
  <si>
    <t xml:space="preserve">    Student loan originations</t>
  </si>
  <si>
    <t xml:space="preserve">        Student origination growth %</t>
  </si>
  <si>
    <t xml:space="preserve">    Home loan originations</t>
  </si>
  <si>
    <t xml:space="preserve">        Home origination growth %</t>
  </si>
  <si>
    <t xml:space="preserve">    Total balance-sheet channel originations</t>
  </si>
  <si>
    <t xml:space="preserve">    Loan Platform Business volume (third-party originated)</t>
  </si>
  <si>
    <t xml:space="preserve">        Loan Platform volume growth %</t>
  </si>
  <si>
    <t xml:space="preserve">Monetization (take rates)</t>
  </si>
  <si>
    <t xml:space="preserve">    % of own originations sold / securitized</t>
  </si>
  <si>
    <t xml:space="preserve">    Gain-on-sale margin on sold volume %</t>
  </si>
  <si>
    <t xml:space="preserve">    Origination, sales &amp; servicing income ($000s)</t>
  </si>
  <si>
    <t xml:space="preserve">    Loan Platform take rate %</t>
  </si>
  <si>
    <t xml:space="preserve">    Loan Platform fees ($000s)</t>
  </si>
  <si>
    <t xml:space="preserve">Credit quality &amp; provision</t>
  </si>
  <si>
    <t xml:space="preserve">    90-day delinquency rate — personal loans %</t>
  </si>
  <si>
    <t xml:space="preserve">    Annualized net charge-off rate — personal loans %</t>
  </si>
  <si>
    <t xml:space="preserve">    Credit-loss rate on amortized-cost book %</t>
  </si>
  <si>
    <t xml:space="preserve">    Provision for credit losses ($000s)</t>
  </si>
  <si>
    <t xml:space="preserve">Check: origination income vs Income Statement (must be 0)</t>
  </si>
  <si>
    <t xml:space="preserve">Check: platform fees vs Income Statement (must be 0)</t>
  </si>
  <si>
    <t xml:space="preserve">Check: provision vs Income Statement (must be 0)</t>
  </si>
  <si>
    <t xml:space="preserve">FY2024–FY2025 origination volumes and credit metrics per SoFi Q4 earnings releases; FY2023 volumes not restated on this basis (left blank).</t>
  </si>
  <si>
    <t xml:space="preserve">Delinquency and charge-off rows are leading indicators that inform the credit-loss rate input; most of SoFi's book is carried at fair value, where credit is absorbed through valuation marks — the provision applies to the amortized-cost book.</t>
  </si>
  <si>
    <t xml:space="preserve">Interest income is driven separately on the Assumptions tab (yield on earning assets); loan growth assumptions there govern balance-sheet loan balances.</t>
  </si>
  <si>
    <t xml:space="preserve">SoFi Technologies, Inc. — Regional Breakdown &amp; Scenarios</t>
  </si>
  <si>
    <t xml:space="preserve">Revenue, growth and customers by region (USD in thousands unless noted) · regional scenario toggle feeds the Income Statement · base = noninterest (fee) revenue</t>
  </si>
  <si>
    <t xml:space="preserve">SCENARIO SELECTOR  (1 = Standard · 2 = Best Case · 3 = Low Case)</t>
  </si>
  <si>
    <t xml:space="preserve">REGIONAL MIX (% of noninterest (fee) revenue)</t>
  </si>
  <si>
    <t xml:space="preserve">    North America mix %</t>
  </si>
  <si>
    <t xml:space="preserve">    Europe mix %</t>
  </si>
  <si>
    <t xml:space="preserve">    Asia Pacific mix %</t>
  </si>
  <si>
    <t xml:space="preserve">    Other / rest of world mix % (balancing)</t>
  </si>
  <si>
    <t xml:space="preserve">BASE NONINTEREST (FEE) REVENUE BY REGION ($000s)</t>
  </si>
  <si>
    <t xml:space="preserve">    Technology products &amp; solutions — base path</t>
  </si>
  <si>
    <t xml:space="preserve">    Other noninterest income — base path</t>
  </si>
  <si>
    <t xml:space="preserve">    Base noninterest (fee) revenue before regional split</t>
  </si>
  <si>
    <t xml:space="preserve">    North America — base</t>
  </si>
  <si>
    <t xml:space="preserve">    Europe — base</t>
  </si>
  <si>
    <t xml:space="preserve">    Asia Pacific — base</t>
  </si>
  <si>
    <t xml:space="preserve">    Other / rest of world — base</t>
  </si>
  <si>
    <t xml:space="preserve">    Total base (sum of regions)</t>
  </si>
  <si>
    <t xml:space="preserve">BASE REGIONAL GROWTH %</t>
  </si>
  <si>
    <t xml:space="preserve">    North America growth %</t>
  </si>
  <si>
    <t xml:space="preserve">    Europe growth %</t>
  </si>
  <si>
    <t xml:space="preserve">    Asia Pacific growth %</t>
  </si>
  <si>
    <t xml:space="preserve">SCENARIO GROWTH DELTAS (added to base regional growth)</t>
  </si>
  <si>
    <t xml:space="preserve">    Best Case — North America</t>
  </si>
  <si>
    <t xml:space="preserve">    Best Case — Europe</t>
  </si>
  <si>
    <t xml:space="preserve">    Best Case — Asia Pacific</t>
  </si>
  <si>
    <t xml:space="preserve">    Low Case — North America</t>
  </si>
  <si>
    <t xml:space="preserve">    Low Case — Europe</t>
  </si>
  <si>
    <t xml:space="preserve">    Low Case — Asia Pacific</t>
  </si>
  <si>
    <t xml:space="preserve">SCENARIO NONINTEREST (FEE) REVENUE BY REGION ($000s)</t>
  </si>
  <si>
    <t xml:space="preserve">    North America — scenario</t>
  </si>
  <si>
    <t xml:space="preserve">    Europe — scenario</t>
  </si>
  <si>
    <t xml:space="preserve">    Asia Pacific — scenario</t>
  </si>
  <si>
    <t xml:space="preserve">    Other / rest of world — scenario (no delta)</t>
  </si>
  <si>
    <t xml:space="preserve">TOTAL — SCENARIO ($000s)</t>
  </si>
  <si>
    <t xml:space="preserve">    Scenario total growth %</t>
  </si>
  <si>
    <t xml:space="preserve">    Scenario scaling factor (× base)</t>
  </si>
  <si>
    <t xml:space="preserve">    Scenario revenue delta vs base ($000s)</t>
  </si>
  <si>
    <t xml:space="preserve">SCENARIO IMPACT DASHBOARD (flips with the selector)</t>
  </si>
  <si>
    <t xml:space="preserve">    Total net revenue — scenario ($000s)</t>
  </si>
  <si>
    <t xml:space="preserve">    Net income — scenario ($000s)</t>
  </si>
  <si>
    <t xml:space="preserve">    Diluted EPS — scenario ($)</t>
  </si>
  <si>
    <t xml:space="preserve">    Ending cash — scenario ($000s)</t>
  </si>
  <si>
    <t xml:space="preserve">    Revenue CAGR FY2025A → FY2030E (scenario)</t>
  </si>
  <si>
    <t xml:space="preserve">CUSTOMERS BY REGION</t>
  </si>
  <si>
    <t xml:space="preserve">    Member growth %</t>
  </si>
  <si>
    <t xml:space="preserve">    Members (millions)</t>
  </si>
  <si>
    <t xml:space="preserve">    North America customer mix %</t>
  </si>
  <si>
    <t xml:space="preserve">    Europe customer mix %</t>
  </si>
  <si>
    <t xml:space="preserve">    Asia Pacific customer mix %</t>
  </si>
  <si>
    <t xml:space="preserve">    Other customer mix % (balancing)</t>
  </si>
  <si>
    <t xml:space="preserve">    North America — customers</t>
  </si>
  <si>
    <t xml:space="preserve">    Europe — customers</t>
  </si>
  <si>
    <t xml:space="preserve">    Asia Pacific — customers</t>
  </si>
  <si>
    <t xml:space="preserve">    Other — customers</t>
  </si>
  <si>
    <t xml:space="preserve">Check: regional mix sums to 100% (must be 0)</t>
  </si>
  <si>
    <t xml:space="preserve">Check: scenario total ties to Income Statement (must be 0)</t>
  </si>
  <si>
    <t xml:space="preserve">•  SoFi is a U.S. deposit-funded bank — net interest income is domestic by construction, so the regional split and scenario apply to NONINTEREST (FEE) REVENUE only (lending fees, tech platform, loan platform). The 10-K shows 93–96% of total net revenue is U.S.; the foreign remainder is principally Latin America (Galileo), captured in "Other."</t>
  </si>
  <si>
    <t xml:space="preserve">•  The scenario scaling factor multiplies the four noninterest income lines on the Income Statement; net interest income continues to be driven by balance-sheet growth and rates on the Assumptions tab.</t>
  </si>
  <si>
    <t xml:space="preserve">•  Members (7.5M / 10.1M / 13.7M at FY23–FY25 per Q4 releases) are effectively all U.S.; the regional member rows become meaningful only if international consumer expansion is modeled.</t>
  </si>
  <si>
    <t xml:space="preserve">SoFi Technologies, Inc. — Statement of Operations</t>
  </si>
  <si>
    <t xml:space="preserve">Interest income and expense</t>
  </si>
  <si>
    <t xml:space="preserve">    Total interest income</t>
  </si>
  <si>
    <t xml:space="preserve">Source: SOFI Q4 FY2025 earnings release and FY2025 10-K (SEC); provision presented below total net revenue per current presentation</t>
  </si>
  <si>
    <t xml:space="preserve">    Total interest expense</t>
  </si>
  <si>
    <t xml:space="preserve">Net interest income</t>
  </si>
  <si>
    <t xml:space="preserve">Noninterest income</t>
  </si>
  <si>
    <t xml:space="preserve">    Loan origination, sales, securitizations and servicing</t>
  </si>
  <si>
    <t xml:space="preserve">    Technology products and solutions</t>
  </si>
  <si>
    <t xml:space="preserve">    Loan platform fees</t>
  </si>
  <si>
    <t xml:space="preserve">    Other noninterest income</t>
  </si>
  <si>
    <t xml:space="preserve">Total noninterest income</t>
  </si>
  <si>
    <t xml:space="preserve">Total net revenue</t>
  </si>
  <si>
    <t xml:space="preserve">    Provision for credit losses</t>
  </si>
  <si>
    <t xml:space="preserve">Noninterest expense</t>
  </si>
  <si>
    <t xml:space="preserve">    Technology and product development</t>
  </si>
  <si>
    <t xml:space="preserve">    Sales and marketing</t>
  </si>
  <si>
    <t xml:space="preserve">    Cost of operations</t>
  </si>
  <si>
    <t xml:space="preserve">    General and administrative</t>
  </si>
  <si>
    <t xml:space="preserve">    Goodwill impairment</t>
  </si>
  <si>
    <t xml:space="preserve">Total noninterest expense</t>
  </si>
  <si>
    <t xml:space="preserve">Income (loss) before income taxes</t>
  </si>
  <si>
    <t xml:space="preserve">    Income tax expense (benefit)</t>
  </si>
  <si>
    <t xml:space="preserve">FY2024 includes a large one-time deferred tax benefit (valuation allowance release)</t>
  </si>
  <si>
    <t xml:space="preserve">Net income (loss)</t>
  </si>
  <si>
    <t xml:space="preserve">    Preferred dividends and redemption adjustments</t>
  </si>
  <si>
    <t xml:space="preserve">Net income (loss) attributable to common stockholders</t>
  </si>
  <si>
    <t xml:space="preserve">Weighted-average diluted shares outstanding</t>
  </si>
  <si>
    <t xml:space="preserve">Diluted EPS ($)</t>
  </si>
  <si>
    <t xml:space="preserve">Historical diluted EPS as reported (reflects dilutive convertible note adjustments); forecast = NI to common / diluted shares</t>
  </si>
  <si>
    <t xml:space="preserve">Memo: share-based compensation expense</t>
  </si>
  <si>
    <t xml:space="preserve">Memo: depreciation and amortization</t>
  </si>
  <si>
    <t xml:space="preserve">SoFi Technologies, Inc. — Balance Sheet</t>
  </si>
  <si>
    <t xml:space="preserve">Assets</t>
  </si>
  <si>
    <t xml:space="preserve">    Cash and cash equivalents</t>
  </si>
  <si>
    <t xml:space="preserve">    Restricted cash and equivalents</t>
  </si>
  <si>
    <t xml:space="preserve">    Investment securities</t>
  </si>
  <si>
    <t xml:space="preserve">    Loans held for sale, at fair value</t>
  </si>
  <si>
    <t xml:space="preserve">    Loans held for investment, at fair value</t>
  </si>
  <si>
    <t xml:space="preserve">    Loans held for investment, at amortized cost (net)</t>
  </si>
  <si>
    <t xml:space="preserve">    Servicing rights</t>
  </si>
  <si>
    <t xml:space="preserve">    Property, equipment and software</t>
  </si>
  <si>
    <t xml:space="preserve">    Goodwill</t>
  </si>
  <si>
    <t xml:space="preserve">    Intangible assets</t>
  </si>
  <si>
    <t xml:space="preserve">    Operating lease right-of-use assets</t>
  </si>
  <si>
    <t xml:space="preserve">    Other assets</t>
  </si>
  <si>
    <t xml:space="preserve">Includes loan platform program receivables — grew with the capital-light fee business</t>
  </si>
  <si>
    <t xml:space="preserve">Total assets</t>
  </si>
  <si>
    <t xml:space="preserve">Liabilities</t>
  </si>
  <si>
    <t xml:space="preserve">    Interest-bearing deposits</t>
  </si>
  <si>
    <t xml:space="preserve">    Noninterest-bearing deposits</t>
  </si>
  <si>
    <t xml:space="preserve">Total deposits</t>
  </si>
  <si>
    <t xml:space="preserve">    Accounts payable, accruals and other liabilities</t>
  </si>
  <si>
    <t xml:space="preserve">    Operating lease liabilities</t>
  </si>
  <si>
    <t xml:space="preserve">    Debt (incl. warehouse facilities)</t>
  </si>
  <si>
    <t xml:space="preserve">    Residual interests classified as debt</t>
  </si>
  <si>
    <t xml:space="preserve">Total liabilities</t>
  </si>
  <si>
    <t xml:space="preserve">    Redeemable preferred stock (temporary equity)</t>
  </si>
  <si>
    <t xml:space="preserve">Permanent equity</t>
  </si>
  <si>
    <t xml:space="preserve">    Common stock</t>
  </si>
  <si>
    <t xml:space="preserve">    Additional paid-in capital</t>
  </si>
  <si>
    <t xml:space="preserve">    Accumulated other comprehensive income (loss)</t>
  </si>
  <si>
    <t xml:space="preserve">    Accumulated deficit</t>
  </si>
  <si>
    <t xml:space="preserve">Total permanent equity</t>
  </si>
  <si>
    <t xml:space="preserve">Total liabilities, temporary equity and permanent equity</t>
  </si>
  <si>
    <t xml:space="preserve">Balance check (assets − liabilities &amp; equity)</t>
  </si>
  <si>
    <t xml:space="preserve">Must be zero in every period</t>
  </si>
  <si>
    <t xml:space="preserve">SoFi Technologies, Inc. — Statement of Cash Flows</t>
  </si>
  <si>
    <t xml:space="preserve">Operating activities</t>
  </si>
  <si>
    <t xml:space="preserve">    Net income (loss)</t>
  </si>
  <si>
    <t xml:space="preserve">    Depreciation and amortization</t>
  </si>
  <si>
    <t xml:space="preserve">    Share-based compensation</t>
  </si>
  <si>
    <t xml:space="preserve">    Net change in loans held for sale</t>
  </si>
  <si>
    <t xml:space="preserve">GAAP presents held-for-sale loan flows within operating activities</t>
  </si>
  <si>
    <t xml:space="preserve">    Net change in servicing rights</t>
  </si>
  <si>
    <t xml:space="preserve">    Net change in other assets and other liabilities</t>
  </si>
  <si>
    <t xml:space="preserve">    Other operating adjustments, net</t>
  </si>
  <si>
    <t xml:space="preserve">Historical: provision, fair-value changes, deferred taxes, goodwill impairment and other, per 10-K</t>
  </si>
  <si>
    <t xml:space="preserve">Net cash provided by (used in) operating activities</t>
  </si>
  <si>
    <t xml:space="preserve">Investing activities</t>
  </si>
  <si>
    <t xml:space="preserve">    Net (purchases) of investment securities</t>
  </si>
  <si>
    <t xml:space="preserve">    Net (originations) of loans held for investment</t>
  </si>
  <si>
    <t xml:space="preserve">    Purchases of property, equipment and software</t>
  </si>
  <si>
    <t xml:space="preserve">    Other investing activities</t>
  </si>
  <si>
    <t xml:space="preserve">Net cash used in investing activities</t>
  </si>
  <si>
    <t xml:space="preserve">Financing activities</t>
  </si>
  <si>
    <t xml:space="preserve">    Net change in deposits</t>
  </si>
  <si>
    <t xml:space="preserve">    Net change in debt and warehouse facilities</t>
  </si>
  <si>
    <t xml:space="preserve">    Proceeds from issuance of common stock, net</t>
  </si>
  <si>
    <t xml:space="preserve">    Other financing activities</t>
  </si>
  <si>
    <t xml:space="preserve">Net cash provided by financing activities</t>
  </si>
  <si>
    <t xml:space="preserve">    Effect of exchange rates on cash</t>
  </si>
  <si>
    <t xml:space="preserve">Net change in cash, equivalents and restricted cash</t>
  </si>
  <si>
    <t xml:space="preserve">    Cash, equivalents and restricted cash — beginning</t>
  </si>
  <si>
    <t xml:space="preserve">Cash, equivalents and restricted cash — ending</t>
  </si>
  <si>
    <t xml:space="preserve">    Less: restricted cash</t>
  </si>
  <si>
    <t xml:space="preserve">Cash and cash equivalents per balance sheet</t>
  </si>
  <si>
    <t xml:space="preserve">Links to cash on the balance sheet; forecast holds restricted cash flat on the balance sheet</t>
  </si>
  <si>
    <t xml:space="preserve">SoFi Technologies, Inc. — Budget vs Actual Variance</t>
  </si>
  <si>
    <t xml:space="preserve">FY2025 actual vs FY2025 budget (USD in thousands, except per-share) · Budget seeded from company guidance where published; all budget cells editable</t>
  </si>
  <si>
    <t xml:space="preserve">Variance flag threshold (|variance %| above this is flagged)</t>
  </si>
  <si>
    <t xml:space="preserve">Metric</t>
  </si>
  <si>
    <t xml:space="preserve">FY2025 Budget</t>
  </si>
  <si>
    <t xml:space="preserve">Budget source</t>
  </si>
  <si>
    <t xml:space="preserve">Override budget</t>
  </si>
  <si>
    <t xml:space="preserve">Effective budget</t>
  </si>
  <si>
    <t xml:space="preserve">FY2025 Actual</t>
  </si>
  <si>
    <t xml:space="preserve">Variance $</t>
  </si>
  <si>
    <t xml:space="preserve">Variance %</t>
  </si>
  <si>
    <t xml:space="preserve">Flag</t>
  </si>
  <si>
    <t xml:space="preserve">Total net revenue (GAAP)</t>
  </si>
  <si>
    <t xml:space="preserve">Placeholder — replace with your budget</t>
  </si>
  <si>
    <t xml:space="preserve">Adjusted net revenue</t>
  </si>
  <si>
    <t xml:space="preserve">Company FY25 guidance (Jan 27, 2025): $3,200–3,275M</t>
  </si>
  <si>
    <t xml:space="preserve">Adjusted EBITDA</t>
  </si>
  <si>
    <t xml:space="preserve">Company FY25 guidance: $845–865M</t>
  </si>
  <si>
    <t xml:space="preserve">Net income (GAAP)</t>
  </si>
  <si>
    <t xml:space="preserve">Company FY25 guidance: $285–305M</t>
  </si>
  <si>
    <t xml:space="preserve">Diluted EPS (GAAP, $)</t>
  </si>
  <si>
    <t xml:space="preserve">Company FY25 guidance: $0.25–0.27</t>
  </si>
  <si>
    <t xml:space="preserve">Notes:</t>
  </si>
  <si>
    <t xml:space="preserve">•  Budget column is seeded with the midpoint of company guidance issued at the start of FY2025 where published (see Budget source).</t>
  </si>
  <si>
    <t xml:space="preserve">•  Rows marked "Placeholder" carry illustrative budgets — overwrite them, or type your own number in the yellow Override column (it takes precedence).</t>
  </si>
  <si>
    <t xml:space="preserve">•  GAAP actuals pull live from the statement tabs (green); non-GAAP actuals are per the company's Q4 FY2025 earnings release.</t>
  </si>
  <si>
    <t xml:space="preserve">•  Rows turn red automatically when |Variance %| exceeds the threshold in B4.</t>
  </si>
  <si>
    <t xml:space="preserve">SoFi Technologies, Inc. — Market Inputs</t>
  </si>
  <si>
    <t xml:space="preserve">Snapshot as of market close July 17, 2026 · All values are inputs (blue) — see REFRESH section to wire live updates</t>
  </si>
  <si>
    <t xml:space="preserve">Data as of:</t>
  </si>
  <si>
    <t xml:space="preserve">July 17, 2026</t>
  </si>
  <si>
    <t xml:space="preserve">Last refreshed:</t>
  </si>
  <si>
    <t xml:space="preserve">2026-07-20 (initial snapshot)</t>
  </si>
  <si>
    <t xml:space="preserve">INTEREST RATES</t>
  </si>
  <si>
    <t xml:space="preserve">Fed funds target (upper bound)</t>
  </si>
  <si>
    <t xml:space="preserve">Range 3.50%–3.75%; unchanged at June 17, 2026 FOMC</t>
  </si>
  <si>
    <t xml:space="preserve">SOFR</t>
  </si>
  <si>
    <t xml:space="preserve">NY Fed, latest print</t>
  </si>
  <si>
    <t xml:space="preserve">3-month T-bill (CMT)</t>
  </si>
  <si>
    <t xml:space="preserve">Fed H.15, Jul 16, 2026</t>
  </si>
  <si>
    <t xml:space="preserve">2-year Treasury</t>
  </si>
  <si>
    <t xml:space="preserve">Close Jul 17, 2026</t>
  </si>
  <si>
    <t xml:space="preserve">10-year Treasury</t>
  </si>
  <si>
    <t xml:space="preserve">30-year Treasury</t>
  </si>
  <si>
    <t xml:space="preserve">EQUITY MARKET DATA — PEER SET</t>
  </si>
  <si>
    <t xml:space="preserve">PLTR</t>
  </si>
  <si>
    <t xml:space="preserve">HUBS</t>
  </si>
  <si>
    <t xml:space="preserve">SOFI</t>
  </si>
  <si>
    <t xml:space="preserve">Share price ($)</t>
  </si>
  <si>
    <t xml:space="preserve">Market cap ($mm)</t>
  </si>
  <si>
    <t xml:space="preserve">Enterprise value ($mm)</t>
  </si>
  <si>
    <t xml:space="preserve">Trailing P/E (x)</t>
  </si>
  <si>
    <t xml:space="preserve">Forward P/E (x)</t>
  </si>
  <si>
    <t xml:space="preserve">EV / Revenue, TTM (x)</t>
  </si>
  <si>
    <t xml:space="preserve">TTM revenue ($mm)</t>
  </si>
  <si>
    <t xml:space="preserve">IMPLIED VALUATION CROSS-CHECK (uses this model's forecast)</t>
  </si>
  <si>
    <t xml:space="preserve">Selected EV / Revenue multiple (x)</t>
  </si>
  <si>
    <t xml:space="preserve">Defaults to this company's current multiple — flex it or use a peer's</t>
  </si>
  <si>
    <t xml:space="preserve">Model FY2026E revenue ($000s)</t>
  </si>
  <si>
    <t xml:space="preserve">Implied enterprise value ($mm)</t>
  </si>
  <si>
    <t xml:space="preserve">Current enterprise value ($mm)</t>
  </si>
  <si>
    <t xml:space="preserve">Implied premium / (discount) to current EV</t>
  </si>
  <si>
    <t xml:space="preserve">Selected forward P/E multiple (x)</t>
  </si>
  <si>
    <t xml:space="preserve">Model FY2026E net income ($000s)</t>
  </si>
  <si>
    <t xml:space="preserve">Implied market capitalization ($mm)</t>
  </si>
  <si>
    <t xml:space="preserve">Current market capitalization ($mm)</t>
  </si>
  <si>
    <t xml:space="preserve">Implied premium / (discount) to current market cap</t>
  </si>
  <si>
    <t xml:space="preserve">REFRESH — MAKE THIS TAB LIVE (one-time setup, ~2 minutes in Excel)</t>
  </si>
  <si>
    <t xml:space="preserve">1.  Excel ▸ Data ▸ Get Data (Power Query) ▸ From Other Sources ▸ From Web.</t>
  </si>
  <si>
    <t xml:space="preserve">2.  Treasury yields (CSV, no key needed):  https://home.treasury.gov/resource-center/data-chart-center/interest-rates/daily-treasury-rates.csv/2026/all?type=daily_treasury_yield_curve&amp;field_tdr_date_value=2026&amp;page&amp;_format=csv</t>
  </si>
  <si>
    <t xml:space="preserve">3.  Load the query to a new sheet; point the blue rate cells above at the latest row (e.g. =INDEX(...)).</t>
  </si>
  <si>
    <t xml:space="preserve">4.  Share prices (JSON):  https://query1.finance.yahoo.com/v8/finance/chart/SOFI   — Power Query ▸ From Web, drill to chart.result.meta.regularMarketPrice.</t>
  </si>
  <si>
    <t xml:space="preserve">5.  After setup, Data ▸ Refresh All re-pulls everything with one click.</t>
  </si>
  <si>
    <t xml:space="preserve">6.  Until then this tab is a dated snapshot (see B4) — or ask Claude to refresh the numbers any time.</t>
  </si>
  <si>
    <t xml:space="preserve">Sources for this snapshot: Fed H.15 (Jul 17, 2026), NY Fed SOFR, stockanalysis.com / S&amp;P Global (Jul 17–19, 2026).</t>
  </si>
  <si>
    <t xml:space="preserve">SoFi Technologies, Inc. — Competitor Benchmarking</t>
  </si>
  <si>
    <t xml:space="preserve">Company column pulls live from this model (FY2025 actuals; FY2026E is scenario-aware) · comps per latest reported fiscal year, valuations as of July 17–20, 2026 · industry benchmarks: Clouded Judgement SaaS medians (7/10/26) and US bank norms</t>
  </si>
  <si>
    <t xml:space="preserve">SoFi (model)</t>
  </si>
  <si>
    <t xml:space="preserve">Nu Holdings (NU, FY2025)</t>
  </si>
  <si>
    <t xml:space="preserve">LendingClub (LC, FY2025)</t>
  </si>
  <si>
    <t xml:space="preserve">Peer median</t>
  </si>
  <si>
    <t xml:space="preserve">Industry benchmark</t>
  </si>
  <si>
    <t xml:space="preserve">What it means</t>
  </si>
  <si>
    <t xml:space="preserve">Latest FY revenue ($mm)</t>
  </si>
  <si>
    <t xml:space="preserve">—</t>
  </si>
  <si>
    <t xml:space="preserve">SoFi's $3.6B revenue base is ~4x LendingClub but a fraction of Nu's LatAm franchise.</t>
  </si>
  <si>
    <t xml:space="preserve">Revenue growth — FY2025 %</t>
  </si>
  <si>
    <t xml:space="preserve">~3–5%</t>
  </si>
  <si>
    <t xml:space="preserve">35% growth is ~8x typical bank growth — between NU (45%) and LC (27%); the fee/platform mix shift is doing the work.</t>
  </si>
  <si>
    <t xml:space="preserve">Revenue growth — FY2026E (model, scenario-aware) %</t>
  </si>
  <si>
    <t xml:space="preserve">n/a</t>
  </si>
  <si>
    <t xml:space="preserve">Model FY26E growth (scenario-aware) of ~31% is driven by deposits, loan platform volume and take rates on Revenue Drivers.</t>
  </si>
  <si>
    <t xml:space="preserve">Net income margin — FY2025 %</t>
  </si>
  <si>
    <t xml:space="preserve">~25–30%</t>
  </si>
  <si>
    <t xml:space="preserve">13% net margin lags NU (18%) and big-bank norms — SoFi is still buying growth with marketing (30% of revenue).</t>
  </si>
  <si>
    <t xml:space="preserve">Return on equity — FY2025 %</t>
  </si>
  <si>
    <t xml:space="preserve">10–12%</t>
  </si>
  <si>
    <t xml:space="preserve">~5–6% ROE is below the 10–12% bank benchmark and far from NU's 30% — the FY25 $3.2B capital raise inflated equity; grinding ROE toward double digits is the core bull case.</t>
  </si>
  <si>
    <t xml:space="preserve">12–14x</t>
  </si>
  <si>
    <t xml:space="preserve">26x forward earnings is ~2x the bank group and a premium even to NU (15x) — the market is paying for growth and the fee-mix shift, not current profitability.</t>
  </si>
  <si>
    <t xml:space="preserve">Price / tangible book value (x)</t>
  </si>
  <si>
    <t xml:space="preserve">1.5–2.5x</t>
  </si>
  <si>
    <t xml:space="preserve">~2.5x tangible book is at the top of the traditional bank range but half of NU — consistent with transition-story status.</t>
  </si>
  <si>
    <t xml:space="preserve">EV / Revenue (x)</t>
  </si>
  <si>
    <t xml:space="preserve">n/m</t>
  </si>
  <si>
    <t xml:space="preserve">5.2x revenue vs LC at ~1x shows SoFi priced as a fintech platform, not a lender; NU's 7.4x is the ceiling comp (note: computed on a net-revenue basis).</t>
  </si>
  <si>
    <t xml:space="preserve">INDUSTRY BENCHMARK NOTES</t>
  </si>
  <si>
    <t xml:space="preserve">•  US bank norms (mid-2026): industry trailing P/E 14.8x, large-cap forward P/E ~12–14x · ROE benchmark 10–12% (≈ cost of equity) · P/TBV ~1.5–2.5x for large caps, ~1x is the fair-value floor · S&amp;P 500 forward P/E 20.9x for context.</t>
  </si>
  <si>
    <t xml:space="preserve">•  High-growth digital banks command premiums when growth comes WITH returns: Nu holds ~30% ROE at 15x forward earnings — growth alone does not sustain a premium multiple.</t>
  </si>
  <si>
    <t xml:space="preserve">TAKEAWAYS — WHAT THIS COMPARISON MEANS</t>
  </si>
  <si>
    <t xml:space="preserve">•  SoFi grows like a fintech (35%) but still earns like a sub-scale bank (~5–6% ROE vs the 10–12% benchmark) — the valuation (26x fwd P/E, ~2.5x TBV) prepays the convergence.</t>
  </si>
  <si>
    <t xml:space="preserve">•  Nu Holdings is the existence proof the market is underwriting: 45% growth WITH 30% ROE at only 15x forward earnings — SoFi trades richer on every earnings-based multiple with weaker current returns.</t>
  </si>
  <si>
    <t xml:space="preserve">•  LendingClub is the floor comp: similar lending DNA at ~1x revenue and 1.6x TBV — SoFi's premium is entirely the deposit franchise, member growth (13.7M) and the capital-light loan platform.</t>
  </si>
  <si>
    <t xml:space="preserve">•  Watch ROE in the model: flip the Best Case regional scenario and provision/marketing assumptions to see how quickly net income closes the gap to the bank benchmark.</t>
  </si>
  <si>
    <t xml:space="preserve">Sources: company Q4/FY earnings releases and 10-Ks (SEC EDGAR); stockanalysis.com / S&amp;P Global valuations Jul 17–20, 2026; cloudedjudgement.substack.com 7/10/26; multiples.vc Jul 2026. Comp forward P/Es are consensus (non-GAAP) based.</t>
  </si>
  <si>
    <t xml:space="preserve">SoFi Technologies, Inc. — Version History</t>
  </si>
  <si>
    <t xml:space="preserve">Log of every assumptions refresh: what changed, when, and why. Add a new row each time inputs are updated.</t>
  </si>
  <si>
    <t xml:space="preserve">Version</t>
  </si>
  <si>
    <t xml:space="preserve">Date</t>
  </si>
  <si>
    <t xml:space="preserve">Changed by</t>
  </si>
  <si>
    <t xml:space="preserve">What changed</t>
  </si>
  <si>
    <t xml:space="preserve">Why</t>
  </si>
  <si>
    <t xml:space="preserve">1.0</t>
  </si>
  <si>
    <t xml:space="preserve">2026-07-19</t>
  </si>
  <si>
    <t xml:space="preserve">A. Pardhootman</t>
  </si>
  <si>
    <t xml:space="preserve">Initial build: FY2023–FY2025 actuals per SEC filings; FY2026–FY2030 top-down forecast; Assumptions, Income Statement, Balance Sheet, Cash Flow and Cover with sheet links.</t>
  </si>
  <si>
    <t xml:space="preserve">Portfolio work sample — integrated three-statement model with balance and cash tie-out checks.</t>
  </si>
  <si>
    <t xml:space="preserve">1.1</t>
  </si>
  <si>
    <t xml:space="preserve">2026-07-20</t>
  </si>
  <si>
    <t xml:space="preserve">Added Budget vs Actual tab (FY2025 vs company guidance, 10% variance flag with conditional formatting) and Market Inputs tab (rates and valuation multiples snapshot as of 7/17/26, implied-valuation cross-check, Power Query refresh guide).</t>
  </si>
  <si>
    <t xml:space="preserve">Variance discipline against real guidance; live market context for the forecast.</t>
  </si>
  <si>
    <t xml:space="preserve">1.2</t>
  </si>
  <si>
    <t xml:space="preserve">Rebuilt revenue as a bottoms-up Revenue Drivers tab (loan originations × take rates, loan platform volume, delinquency-informed provision); superseded top-down assumption rows relabeled as OUTPUT.</t>
  </si>
  <si>
    <t xml:space="preserve">Unit-economics realism — forecast driven by operating metrics rather than a single growth rate.</t>
  </si>
  <si>
    <t xml:space="preserve">1.3</t>
  </si>
  <si>
    <t xml:space="preserve">Added Regional Breakdown tab: NA / Europe / APAC mix from 10-K geographic disclosures, customer splits, and a scenario selector with per-region growth deltas feeding the Income Statement.</t>
  </si>
  <si>
    <t xml:space="preserve">Geographic visibility and one-cell scenario analysis across the full model.</t>
  </si>
  <si>
    <t xml:space="preserve">1.4</t>
  </si>
  <si>
    <t xml:space="preserve">Added Competitor Benchmarking tab vs Nu Holdings and LendingClub + US bank norms; company column pulls live from the model with interpretation and takeaways.</t>
  </si>
  <si>
    <t xml:space="preserve">Relative context — absolute metrics only matter versus peers and industry medians.</t>
  </si>
  <si>
    <t xml:space="preserve">1.5</t>
  </si>
  <si>
    <t xml:space="preserve">Renamed scenarios to Standard Case / Best Case / Low Case across the selector, delta rows and commentary; companion interactive HTML dashboard extracted from this workbook under all three scenarios.</t>
  </si>
  <si>
    <t xml:space="preserve">Clearer scenario language for non-technical reviewers; browser-based review experience.</t>
  </si>
  <si>
    <t xml:space="preserve">1.6</t>
  </si>
  <si>
    <t xml:space="preserve">Added this Version History tab.</t>
  </si>
  <si>
    <t xml:space="preserve">Change auditability — every future assumptions refresh gets logged here.</t>
  </si>
  <si>
    <t xml:space="preserve">1.7</t>
  </si>
  <si>
    <t xml:space="preserve">Added market-data refresh infrastructure: "Last refreshed" stamp on Market Inputs, market_data.js live feed consumed by the dashboard, a Refresh button in the dashboard, and companion script refresh_market_data.py that updates the feed, this workbook's Market Inputs and this log.</t>
  </si>
  <si>
    <t xml:space="preserve">Keep valuation context current and visibly timestamped for reviewers.</t>
  </si>
  <si>
    <t xml:space="preserve">1.8</t>
  </si>
  <si>
    <t xml:space="preserve">Applied workbook protection: all formulas, labels and structure locked with a password on every tab; blue/yellow input cells (assumptions, scenario selector, budget overrides) remain editable so the model stays interactive.</t>
  </si>
  <si>
    <t xml:space="preserve">Distribution protection — models are downloadable from the public portfolio site; viewers can flex inputs but cannot alter or break the model.</t>
  </si>
  <si>
    <t xml:space="preserve">How to log a refresh: add a row (yellow cells above are ready) with the new version number, date, your name, the cells/tabs you changed (e.g. "Assumptions F7: FY27 revenue growth 45% → 40% after Q1 FY27 print"), and the reason. Keep one row per refresh so the audit trail stays readable.</t>
  </si>
  <si>
    <t xml:space="preserve">Sofi Technologies, Inc. — Data Sources &amp; Citations</t>
  </si>
  <si>
    <t xml:space="preserve">Every input in this model, where it comes from, and how current it is. Click "Open ↗" for the underlying source. Refresh stamps also appear on Market Inputs; refreshes are logged in Version History.</t>
  </si>
  <si>
    <t xml:space="preserve">Data input</t>
  </si>
  <si>
    <t xml:space="preserve">Used on tab(s)</t>
  </si>
  <si>
    <t xml:space="preserve">Source / citation</t>
  </si>
  <si>
    <t xml:space="preserve">Link</t>
  </si>
  <si>
    <t xml:space="preserve">Last updated</t>
  </si>
  <si>
    <t xml:space="preserve">How it refreshes</t>
  </si>
  <si>
    <t xml:space="preserve">COMPANY FINANCIALS &amp; DISCLOSURES</t>
  </si>
  <si>
    <t xml:space="preserve">FY2025 &amp; FY2024 statements; originations; members (13.7M)</t>
  </si>
  <si>
    <t xml:space="preserve">Income Statement · Balance Sheet · Cash Flow · Revenue Drivers</t>
  </si>
  <si>
    <t xml:space="preserve">SoFi Q4 FY2025 earnings release, 8-K Ex. 99.1, filed Jan 30, 2026</t>
  </si>
  <si>
    <t xml:space="preserve">Static actuals — restate on next annual filing</t>
  </si>
  <si>
    <t xml:space="preserve">FY2023 statements; FY2024 originations &amp; credit metrics</t>
  </si>
  <si>
    <t xml:space="preserve">SoFi Q4 FY2024 earnings release, 8-K Ex. 99.1, filed Jan 27, 2025</t>
  </si>
  <si>
    <t xml:space="preserve">Static actuals</t>
  </si>
  <si>
    <t xml:space="preserve">Three-year statements &amp; cash flow detail; EPS schedule</t>
  </si>
  <si>
    <t xml:space="preserve">Income Statement · Cash Flow</t>
  </si>
  <si>
    <t xml:space="preserve">FY2025 Form 10-K (financial statement exhibits), filed Feb 17, 2026</t>
  </si>
  <si>
    <t xml:space="preserve">Revenue by geography (93–96% US; foreign ≈ Latin America)</t>
  </si>
  <si>
    <t xml:space="preserve">Regional Breakdown</t>
  </si>
  <si>
    <t xml:space="preserve">FY2025 Form 10-K, geographic disclosure</t>
  </si>
  <si>
    <t xml:space="preserve">Static — update on next 10-K</t>
  </si>
  <si>
    <t xml:space="preserve">GUIDANCE &amp; BUDGET</t>
  </si>
  <si>
    <t xml:space="preserve">FY2025 guidance (adj. net revenue, adj. EBITDA, GAAP NI, EPS)</t>
  </si>
  <si>
    <t xml:space="preserve">Budget vs Actual</t>
  </si>
  <si>
    <t xml:space="preserve">Issued with Q4 FY2024 release, Jan 27, 2025 ($3,200–3,275M adj. net revenue)</t>
  </si>
  <si>
    <t xml:space="preserve">Static — replace with FY2026 guidance next cycle</t>
  </si>
  <si>
    <t xml:space="preserve">MARKET DATA</t>
  </si>
  <si>
    <t xml:space="preserve">US Treasury yield curve (3M/2Y/10Y/30Y)</t>
  </si>
  <si>
    <t xml:space="preserve">Market Inputs</t>
  </si>
  <si>
    <t xml:space="preserve">US Treasury daily yield curve; Fed H.15 release (Jul 17, 2026)</t>
  </si>
  <si>
    <t xml:space="preserve">2026-07-17</t>
  </si>
  <si>
    <t xml:space="preserve">refresh_market_data.py or dashboard ⟳ button</t>
  </si>
  <si>
    <t xml:space="preserve">Fed funds target &amp; SOFR</t>
  </si>
  <si>
    <t xml:space="preserve">FOMC statement (Jun 17, 2026); NY Fed SOFR reference rate</t>
  </si>
  <si>
    <t xml:space="preserve">refresh_market_data.py (manual for Fed funds)</t>
  </si>
  <si>
    <t xml:space="preserve">Share price, market cap, EV, P/E, EV/Revenue</t>
  </si>
  <si>
    <t xml:space="preserve">Market Inputs · Competitor Benchmarking</t>
  </si>
  <si>
    <t xml:space="preserve">stockanalysis.com (SOFI) — data: S&amp;P Global Market Intelligence, close Jul 17, 2026</t>
  </si>
  <si>
    <t xml:space="preserve">refresh_market_data.py scales by live price ratio</t>
  </si>
  <si>
    <t xml:space="preserve">VALUATION &amp; INDUSTRY BENCHMARKS</t>
  </si>
  <si>
    <t xml:space="preserve">Comp fundamentals — Nu Holdings (FY2025)</t>
  </si>
  <si>
    <t xml:space="preserve">Competitor Benchmarking</t>
  </si>
  <si>
    <t xml:space="preserve">Nu Holdings Q4/FY2025 results, Feb 25, 2026 (IFRS 20-F: $15.8B revenue)</t>
  </si>
  <si>
    <t xml:space="preserve">Static — update after comp earnings</t>
  </si>
  <si>
    <t xml:space="preserve">Comp fundamentals — LendingClub (FY2025)</t>
  </si>
  <si>
    <t xml:space="preserve">LendingClub Q4/FY2025 results, Jan 28, 2026</t>
  </si>
  <si>
    <t xml:space="preserve">US bank norms (P/E 12–14x, ROE 10–12%, P/TBV 1.5–2.5x)</t>
  </si>
  <si>
    <t xml:space="preserve">Simply Wall St US banks industry data; GuruFocus / Macrotrends large-cap bank multiples, Jul 2026</t>
  </si>
  <si>
    <t xml:space="preserve">Manual — ask Claude to refresh</t>
  </si>
  <si>
    <t xml:space="preserve">FORECAST ASSUMPTIONS</t>
  </si>
  <si>
    <t xml:space="preserve">FY2026–FY2030 deposit/loan growth, take-rate, credit and scenario inputs</t>
  </si>
  <si>
    <t xml:space="preserve">Assumptions · Revenue Drivers · Regional Breakdown</t>
  </si>
  <si>
    <t xml:space="preserve">Analyst judgment (A. Pardhootman), anchored to disclosed trends</t>
  </si>
  <si>
    <t xml:space="preserve">Every change is logged on the Version History tab</t>
  </si>
  <si>
    <t xml:space="preserve">Conventions: "Static actuals" never change once filed (restated only if the company restates). Market data carries dual stamps — "Data as of" (the market close the values describe) and "Last refreshed" (when the file was last updated). Analyst assumptions are the author's judgment; the Version History tab is the audit trail.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</si>
</sst>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;\(0.0%\)"/>
    <numFmt numFmtId="166" formatCode="#,##0;\(#,##0\);\-"/>
    <numFmt numFmtId="167" formatCode="#,##0.0"/>
    <numFmt numFmtId="168" formatCode="0.00%"/>
    <numFmt numFmtId="169" formatCode="0"/>
    <numFmt numFmtId="170" formatCode="0.000\×"/>
    <numFmt numFmtId="171" formatCode="0.00;\(0.00\)"/>
    <numFmt numFmtId="172" formatCode="\$0.00"/>
    <numFmt numFmtId="173" formatCode="0.0\x"/>
    <numFmt numFmtId="174" formatCode="0.00\x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Arial"/>
      <family val="0"/>
      <charset val="1"/>
    </font>
    <font>
      <b val="true"/>
      <sz val="12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563C1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F1F7"/>
      </patternFill>
    </fill>
    <fill>
      <patternFill patternType="solid">
        <fgColor rgb="FFD9D9D9"/>
        <bgColor rgb="FFEDF1F7"/>
      </patternFill>
    </fill>
    <fill>
      <patternFill patternType="solid">
        <fgColor rgb="FFEDF1F7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1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5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3" fontId="1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3" fontId="8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2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2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EDF1F7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4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6" t="s">
        <v>4</v>
      </c>
    </row>
    <row r="8" customFormat="false" ht="15" hidden="false" customHeight="true" outlineLevel="0" collapsed="false">
      <c r="B8" s="7" t="str">
        <f aca="false">HYPERLINK("mailto:avash.pardhootman@gmail.com","Contact:  avash.pardhootman@gmail.com")</f>
        <v>Contact:  avash.pardhootman@gmail.com</v>
      </c>
    </row>
    <row r="9" customFormat="false" ht="15" hidden="false" customHeight="true" outlineLevel="0" collapsed="false">
      <c r="B9" s="7" t="str">
        <f aca="false">HYPERLINK("https://www.linkedin.com/in/avashpardhootman/","LinkedIn:  linkedin.com/in/avashpardhootman")</f>
        <v>LinkedIn:  linkedin.com/in/avashpardhootman</v>
      </c>
    </row>
    <row r="10" customFormat="false" ht="15" hidden="false" customHeight="true" outlineLevel="0" collapsed="false">
      <c r="B10" s="6" t="s">
        <v>5</v>
      </c>
    </row>
    <row r="11" customFormat="false" ht="15" hidden="false" customHeight="true" outlineLevel="0" collapsed="false">
      <c r="B11" s="6" t="s">
        <v>6</v>
      </c>
    </row>
    <row r="13" customFormat="false" ht="15" hidden="false" customHeight="true" outlineLevel="0" collapsed="false">
      <c r="B13" s="5" t="s">
        <v>7</v>
      </c>
    </row>
    <row r="14" customFormat="false" ht="15" hidden="false" customHeight="true" outlineLevel="0" collapsed="false">
      <c r="B14" s="7" t="str">
        <f aca="false">HYPERLINK("Finance_AI_Dashboard.html","▸  Interactive dashboard  —  toggle industry, scenario and region in your browser (same folder)")</f>
        <v>▸  Interactive dashboard  —  toggle industry, scenario and region in your browser (same folder)</v>
      </c>
    </row>
    <row r="15" customFormat="false" ht="15" hidden="false" customHeight="true" outlineLevel="0" collapsed="false">
      <c r="B15" s="7" t="str">
        <f aca="false">HYPERLINK("README.md","▸  Portfolio README  —  overview of all three models and how they fit together")</f>
        <v>▸  Portfolio README  —  overview of all three models and how they fit together</v>
      </c>
    </row>
    <row r="16" customFormat="false" ht="15" hidden="false" customHeight="true" outlineLevel="0" collapsed="false">
      <c r="B16" s="7" t="str">
        <f aca="false">HYPERLINK("refresh_market_data.py","▸  Market-data refresh script  —  run to update prices, rates and refresh stamps everywhere")</f>
        <v>▸  Market-data refresh script  —  run to update prices, rates and refresh stamps everywhere</v>
      </c>
    </row>
    <row r="18" customFormat="false" ht="15" hidden="false" customHeight="true" outlineLevel="0" collapsed="false">
      <c r="B18" s="5" t="s">
        <v>8</v>
      </c>
    </row>
    <row r="19" customFormat="false" ht="15" hidden="false" customHeight="true" outlineLevel="0" collapsed="false">
      <c r="B19" s="7" t="str">
        <f aca="false">HYPERLINK("#'Assumptions'!A1","▸  Assumptions  —  Margin, tax, working-capital and financing drivers")</f>
        <v>▸  Assumptions  —  Margin, tax, working-capital and financing drivers</v>
      </c>
    </row>
    <row r="20" customFormat="false" ht="15" hidden="false" customHeight="true" outlineLevel="0" collapsed="false">
      <c r="B20" s="7" t="str">
        <f aca="false">HYPERLINK("#'Revenue Drivers'!A1","▸  Revenue Drivers  —  Bottoms-up sector build driving revenue and key costs")</f>
        <v>▸  Revenue Drivers  —  Bottoms-up sector build driving revenue and key costs</v>
      </c>
    </row>
    <row r="21" customFormat="false" ht="15" hidden="false" customHeight="true" outlineLevel="0" collapsed="false">
      <c r="B21" s="7" t="str">
        <f aca="false">HYPERLINK("#'Regional Breakdown'!A1","▸  Regional Breakdown  —  NA / Europe / APAC splits and the Standard / Best / Low case selector")</f>
        <v>▸  Regional Breakdown  —  NA / Europe / APAC splits and the Standard / Best / Low case selector</v>
      </c>
    </row>
    <row r="22" customFormat="false" ht="15" hidden="false" customHeight="true" outlineLevel="0" collapsed="false">
      <c r="B22" s="7" t="str">
        <f aca="false">HYPERLINK("#'Income Statement'!A1","▸  Income Statement  —  Revenue build-down to EPS")</f>
        <v>▸  Income Statement  —  Revenue build-down to EPS</v>
      </c>
    </row>
    <row r="23" customFormat="false" ht="15" hidden="false" customHeight="true" outlineLevel="0" collapsed="false">
      <c r="B23" s="7" t="str">
        <f aca="false">HYPERLINK("#'Balance Sheet'!A1","▸  Balance Sheet  —  Assets, liabilities and equity, with balance check")</f>
        <v>▸  Balance Sheet  —  Assets, liabilities and equity, with balance check</v>
      </c>
    </row>
    <row r="24" customFormat="false" ht="15" hidden="false" customHeight="true" outlineLevel="0" collapsed="false">
      <c r="B24" s="7" t="str">
        <f aca="false">HYPERLINK("#'Cash Flow'!A1","▸  Cash Flow  —  Indirect-method cash flow; ending cash links to the balance sheet")</f>
        <v>▸  Cash Flow  —  Indirect-method cash flow; ending cash links to the balance sheet</v>
      </c>
    </row>
    <row r="25" customFormat="false" ht="15" hidden="false" customHeight="true" outlineLevel="0" collapsed="false">
      <c r="B25" s="7" t="str">
        <f aca="false">HYPERLINK("#'Budget vs Actual'!A1","▸  Budget vs Actual  —  FY2025 vs guidance with automatic &gt;10% variance flagging")</f>
        <v>▸  Budget vs Actual  —  FY2025 vs guidance with automatic &gt;10% variance flagging</v>
      </c>
    </row>
    <row r="26" customFormat="false" ht="15" hidden="false" customHeight="true" outlineLevel="0" collapsed="false">
      <c r="B26" s="7" t="str">
        <f aca="false">HYPERLINK("#'Market Inputs'!A1","▸  Market Inputs  —  Rates and valuation multiples with refresh stamps")</f>
        <v>▸  Market Inputs  —  Rates and valuation multiples with refresh stamps</v>
      </c>
    </row>
    <row r="27" customFormat="false" ht="15" hidden="false" customHeight="true" outlineLevel="0" collapsed="false">
      <c r="B27" s="7" t="str">
        <f aca="false">HYPERLINK("#'Competitor Benchmarking'!A1","▸  Competitor Benchmarking  —  Two public comps + peer median + industry benchmarks")</f>
        <v>▸  Competitor Benchmarking  —  Two public comps + peer median + industry benchmarks</v>
      </c>
    </row>
    <row r="28" customFormat="false" ht="15" hidden="false" customHeight="true" outlineLevel="0" collapsed="false">
      <c r="B28" s="7" t="str">
        <f aca="false">HYPERLINK("#'Version History'!A1","▸  Version History  —  Audit log of every assumptions and data refresh")</f>
        <v>▸  Version History  —  Audit log of every assumptions and data refresh</v>
      </c>
    </row>
    <row r="29" customFormat="false" ht="15" hidden="false" customHeight="true" outlineLevel="0" collapsed="false">
      <c r="B29" s="7" t="str">
        <f aca="false">HYPERLINK("#'Sources'!A1","▸  Sources  —  Where every input comes from — citations, links, last-updated dates")</f>
        <v>▸  Sources  —  Where every input comes from — citations, links, last-updated dates</v>
      </c>
    </row>
    <row r="31" customFormat="false" ht="15" hidden="false" customHeight="true" outlineLevel="0" collapsed="false">
      <c r="B31" s="5" t="s">
        <v>9</v>
      </c>
    </row>
    <row r="32" customFormat="false" ht="15" hidden="false" customHeight="true" outlineLevel="0" collapsed="false">
      <c r="B32" s="8" t="s">
        <v>10</v>
      </c>
    </row>
    <row r="33" customFormat="false" ht="15" hidden="false" customHeight="true" outlineLevel="0" collapsed="false">
      <c r="B33" s="8" t="s">
        <v>11</v>
      </c>
    </row>
    <row r="34" customFormat="false" ht="15" hidden="false" customHeight="true" outlineLevel="0" collapsed="false">
      <c r="B34" s="8" t="s">
        <v>12</v>
      </c>
    </row>
    <row r="35" customFormat="false" ht="15" hidden="false" customHeight="true" outlineLevel="0" collapsed="false">
      <c r="B35" s="8" t="s">
        <v>13</v>
      </c>
    </row>
    <row r="36" customFormat="false" ht="15" hidden="false" customHeight="true" outlineLevel="0" collapsed="false">
      <c r="B36" s="8" t="s">
        <v>14</v>
      </c>
    </row>
    <row r="38" customFormat="false" ht="15" hidden="false" customHeight="true" outlineLevel="0" collapsed="false">
      <c r="B38" s="5" t="s">
        <v>15</v>
      </c>
    </row>
    <row r="39" customFormat="false" ht="15" hidden="false" customHeight="true" outlineLevel="0" collapsed="false">
      <c r="B39" s="8" t="s">
        <v>16</v>
      </c>
    </row>
    <row r="40" customFormat="false" ht="15" hidden="false" customHeight="true" outlineLevel="0" collapsed="false">
      <c r="B40" s="8" t="s">
        <v>17</v>
      </c>
    </row>
    <row r="41" customFormat="false" ht="15" hidden="false" customHeight="true" outlineLevel="0" collapsed="false">
      <c r="B41" s="8" t="s">
        <v>18</v>
      </c>
    </row>
    <row r="43" customFormat="false" ht="15" hidden="false" customHeight="true" outlineLevel="0" collapsed="false">
      <c r="B43" s="5" t="s">
        <v>19</v>
      </c>
    </row>
    <row r="44" customFormat="false" ht="15" hidden="false" customHeight="true" outlineLevel="0" collapsed="false">
      <c r="B44" s="9" t="s">
        <v>20</v>
      </c>
    </row>
    <row r="45" customFormat="false" ht="15" hidden="false" customHeight="true" outlineLevel="0" collapsed="false">
      <c r="B45" s="8" t="s">
        <v>21</v>
      </c>
    </row>
    <row r="46" customFormat="false" ht="15" hidden="false" customHeight="true" outlineLevel="0" collapsed="false">
      <c r="B46" s="10" t="s">
        <v>22</v>
      </c>
    </row>
    <row r="48" customFormat="false" ht="15" hidden="false" customHeight="true" outlineLevel="0" collapsed="false">
      <c r="B48" s="11" t="s">
        <v>23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9" min="2" style="1" width="13.5"/>
    <col collapsed="false" customWidth="true" hidden="false" outlineLevel="0" max="10" min="10" style="1" width="2"/>
    <col collapsed="false" customWidth="true" hidden="false" outlineLevel="0" max="11" min="11" style="1" width="60"/>
  </cols>
  <sheetData>
    <row r="1" customFormat="false" ht="15" hidden="false" customHeight="true" outlineLevel="0" collapsed="false">
      <c r="A1" s="12" t="s">
        <v>24</v>
      </c>
    </row>
    <row r="2" customFormat="false" ht="15" hidden="false" customHeight="true" outlineLevel="0" collapsed="false">
      <c r="A2" s="11" t="s">
        <v>25</v>
      </c>
    </row>
    <row r="3" customFormat="false" ht="15" hidden="false" customHeight="true" outlineLevel="0" collapsed="false">
      <c r="A3" s="13"/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4" t="s">
        <v>32</v>
      </c>
      <c r="I3" s="14" t="s">
        <v>33</v>
      </c>
    </row>
    <row r="4" customFormat="false" ht="15" hidden="false" customHeight="true" outlineLevel="0" collapsed="false">
      <c r="A4" s="15" t="s">
        <v>34</v>
      </c>
    </row>
    <row r="5" customFormat="false" ht="15" hidden="false" customHeight="true" outlineLevel="0" collapsed="false">
      <c r="A5" s="6" t="s">
        <v>35</v>
      </c>
      <c r="C5" s="16" t="n">
        <f aca="false">'Balance Sheet'!C20/'Balance Sheet'!B20-1</f>
        <v>0.392719572892294</v>
      </c>
      <c r="D5" s="16" t="n">
        <f aca="false">'Balance Sheet'!D20/'Balance Sheet'!C20-1</f>
        <v>0.445681594963923</v>
      </c>
      <c r="E5" s="17" t="n">
        <v>0.28</v>
      </c>
      <c r="F5" s="17" t="n">
        <v>0.24</v>
      </c>
      <c r="G5" s="17" t="n">
        <v>0.2</v>
      </c>
      <c r="H5" s="17" t="n">
        <v>0.17</v>
      </c>
      <c r="I5" s="17" t="n">
        <v>0.15</v>
      </c>
      <c r="K5" s="18" t="s">
        <v>36</v>
      </c>
    </row>
    <row r="6" customFormat="false" ht="15" hidden="false" customHeight="true" outlineLevel="0" collapsed="false">
      <c r="A6" s="6" t="s">
        <v>37</v>
      </c>
      <c r="C6" s="16" t="n">
        <f aca="false">'Balance Sheet'!C8/'Balance Sheet'!B8-1</f>
        <v>0.148610445657729</v>
      </c>
      <c r="D6" s="16" t="n">
        <f aca="false">'Balance Sheet'!D8/'Balance Sheet'!C8-1</f>
        <v>0.292784202470674</v>
      </c>
      <c r="E6" s="17" t="n">
        <v>0.2</v>
      </c>
      <c r="F6" s="17" t="n">
        <v>0.18</v>
      </c>
      <c r="G6" s="17" t="n">
        <v>0.15</v>
      </c>
      <c r="H6" s="17" t="n">
        <v>0.13</v>
      </c>
      <c r="I6" s="17" t="n">
        <v>0.12</v>
      </c>
      <c r="K6" s="18" t="s">
        <v>38</v>
      </c>
    </row>
    <row r="7" customFormat="false" ht="15" hidden="false" customHeight="true" outlineLevel="0" collapsed="false">
      <c r="A7" s="6" t="s">
        <v>39</v>
      </c>
      <c r="C7" s="16" t="n">
        <f aca="false">'Balance Sheet'!C9/'Balance Sheet'!B9-1</f>
        <v>0.278327031928111</v>
      </c>
      <c r="D7" s="16" t="n">
        <f aca="false">'Balance Sheet'!D9/'Balance Sheet'!C9-1</f>
        <v>0.588576643456463</v>
      </c>
      <c r="E7" s="19" t="n">
        <v>0.3</v>
      </c>
      <c r="F7" s="19" t="n">
        <v>0.25</v>
      </c>
      <c r="G7" s="19" t="n">
        <v>0.2</v>
      </c>
      <c r="H7" s="19" t="n">
        <v>0.18</v>
      </c>
      <c r="I7" s="19" t="n">
        <v>0.15</v>
      </c>
    </row>
    <row r="8" customFormat="false" ht="15" hidden="false" customHeight="true" outlineLevel="0" collapsed="false">
      <c r="A8" s="6" t="s">
        <v>40</v>
      </c>
      <c r="C8" s="16" t="n">
        <f aca="false">'Balance Sheet'!C10/'Balance Sheet'!B10-1</f>
        <v>0.490694951558256</v>
      </c>
      <c r="D8" s="16" t="n">
        <f aca="false">'Balance Sheet'!D10/'Balance Sheet'!C10-1</f>
        <v>0.216836828838196</v>
      </c>
      <c r="E8" s="19" t="n">
        <v>0.18</v>
      </c>
      <c r="F8" s="19" t="n">
        <v>0.16</v>
      </c>
      <c r="G8" s="19" t="n">
        <v>0.15</v>
      </c>
      <c r="H8" s="19" t="n">
        <v>0.13</v>
      </c>
      <c r="I8" s="19" t="n">
        <v>0.12</v>
      </c>
    </row>
    <row r="9" customFormat="false" ht="15" hidden="false" customHeight="true" outlineLevel="0" collapsed="false">
      <c r="A9" s="6" t="s">
        <v>41</v>
      </c>
      <c r="C9" s="16" t="n">
        <f aca="false">'Balance Sheet'!C7/'Balance Sheet'!B7-1</f>
        <v>1.70066174218411</v>
      </c>
      <c r="D9" s="16" t="n">
        <f aca="false">'Balance Sheet'!D7/'Balance Sheet'!C7-1</f>
        <v>0.358665371798855</v>
      </c>
      <c r="E9" s="19" t="n">
        <v>0.25</v>
      </c>
      <c r="F9" s="19" t="n">
        <v>0.2</v>
      </c>
      <c r="G9" s="19" t="n">
        <v>0.18</v>
      </c>
      <c r="H9" s="19" t="n">
        <v>0.15</v>
      </c>
      <c r="I9" s="19" t="n">
        <v>0.12</v>
      </c>
    </row>
    <row r="10" customFormat="false" ht="15" hidden="false" customHeight="true" outlineLevel="0" collapsed="false">
      <c r="A10" s="6" t="s">
        <v>42</v>
      </c>
      <c r="C10" s="16" t="n">
        <f aca="false">'Balance Sheet'!C11/'Balance Sheet'!B11-1</f>
        <v>0.895771572957128</v>
      </c>
      <c r="D10" s="16" t="n">
        <f aca="false">'Balance Sheet'!D11/'Balance Sheet'!C11-1</f>
        <v>0.10536992002993</v>
      </c>
      <c r="E10" s="19" t="n">
        <v>0.06</v>
      </c>
      <c r="F10" s="19" t="n">
        <v>0.06</v>
      </c>
      <c r="G10" s="19" t="n">
        <v>0.06</v>
      </c>
      <c r="H10" s="19" t="n">
        <v>0.06</v>
      </c>
      <c r="I10" s="19" t="n">
        <v>0.06</v>
      </c>
    </row>
    <row r="12" customFormat="false" ht="15" hidden="false" customHeight="true" outlineLevel="0" collapsed="false">
      <c r="A12" s="15" t="s">
        <v>43</v>
      </c>
    </row>
    <row r="13" customFormat="false" ht="15" hidden="false" customHeight="true" outlineLevel="0" collapsed="false">
      <c r="A13" s="6" t="s">
        <v>44</v>
      </c>
      <c r="C13" s="16" t="n">
        <f aca="false">'Income Statement'!C5/('Balance Sheet'!B7+'Balance Sheet'!B8+'Balance Sheet'!B9+'Balance Sheet'!B10+'Balance Sheet'!B5)</f>
        <v>0.104983296360577</v>
      </c>
      <c r="D13" s="16" t="n">
        <f aca="false">'Income Statement'!D5/('Balance Sheet'!C7+'Balance Sheet'!C8+'Balance Sheet'!C9+'Balance Sheet'!C10+'Balance Sheet'!C5)</f>
        <v>0.10559805648459</v>
      </c>
      <c r="E13" s="17" t="n">
        <v>0.1</v>
      </c>
      <c r="F13" s="17" t="n">
        <v>0.098</v>
      </c>
      <c r="G13" s="17" t="n">
        <v>0.096</v>
      </c>
      <c r="H13" s="17" t="n">
        <v>0.094</v>
      </c>
      <c r="I13" s="17" t="n">
        <v>0.092</v>
      </c>
      <c r="K13" s="18" t="s">
        <v>45</v>
      </c>
    </row>
    <row r="14" customFormat="false" ht="15" hidden="false" customHeight="true" outlineLevel="0" collapsed="false">
      <c r="A14" s="6" t="s">
        <v>46</v>
      </c>
      <c r="C14" s="16" t="n">
        <f aca="false">'Income Statement'!C6/('Balance Sheet'!B20+'Balance Sheet'!B25+'Balance Sheet'!B26)</f>
        <v>0.0458355706819103</v>
      </c>
      <c r="D14" s="16" t="n">
        <f aca="false">'Income Statement'!D6/('Balance Sheet'!C20+'Balance Sheet'!C25+'Balance Sheet'!C26)</f>
        <v>0.0399328247250766</v>
      </c>
      <c r="E14" s="17" t="n">
        <v>0.039</v>
      </c>
      <c r="F14" s="17" t="n">
        <v>0.038</v>
      </c>
      <c r="G14" s="17" t="n">
        <v>0.037</v>
      </c>
      <c r="H14" s="17" t="n">
        <v>0.036</v>
      </c>
      <c r="I14" s="17" t="n">
        <v>0.035</v>
      </c>
      <c r="K14" s="18" t="s">
        <v>47</v>
      </c>
    </row>
    <row r="15" customFormat="false" ht="15" hidden="false" customHeight="true" outlineLevel="0" collapsed="false">
      <c r="A15" s="20" t="s">
        <v>48</v>
      </c>
      <c r="C15" s="16" t="n">
        <f aca="false">'Income Statement'!C10/'Income Statement'!B10-1</f>
        <v>-0.320247348096006</v>
      </c>
      <c r="D15" s="16" t="n">
        <f aca="false">'Income Statement'!D10/'Income Statement'!C10-1</f>
        <v>-0.126448147162674</v>
      </c>
      <c r="E15" s="16" t="n">
        <f aca="false">'Income Statement'!E10/'Income Statement'!D10-1</f>
        <v>0.067967238121895</v>
      </c>
      <c r="F15" s="16" t="n">
        <f aca="false">'Income Statement'!F10/'Income Statement'!E10-1</f>
        <v>0.129513356129364</v>
      </c>
      <c r="G15" s="16" t="n">
        <f aca="false">'Income Statement'!G10/'Income Statement'!F10-1</f>
        <v>0.105067847618205</v>
      </c>
      <c r="H15" s="16" t="n">
        <f aca="false">'Income Statement'!H10/'Income Statement'!G10-1</f>
        <v>0.0827401572119775</v>
      </c>
      <c r="I15" s="16" t="n">
        <f aca="false">'Income Statement'!I10/'Income Statement'!H10-1</f>
        <v>0.0683059641477646</v>
      </c>
    </row>
    <row r="16" customFormat="false" ht="15" hidden="false" customHeight="true" outlineLevel="0" collapsed="false">
      <c r="A16" s="6" t="s">
        <v>49</v>
      </c>
      <c r="C16" s="16" t="n">
        <f aca="false">'Income Statement'!C11/'Income Statement'!B11-1</f>
        <v>0.0828404923882311</v>
      </c>
      <c r="D16" s="16" t="n">
        <f aca="false">'Income Statement'!D11/'Income Statement'!C11-1</f>
        <v>0.0287705595621561</v>
      </c>
      <c r="E16" s="19" t="n">
        <v>0.08</v>
      </c>
      <c r="F16" s="19" t="n">
        <v>0.09</v>
      </c>
      <c r="G16" s="19" t="n">
        <v>0.1</v>
      </c>
      <c r="H16" s="19" t="n">
        <v>0.1</v>
      </c>
      <c r="I16" s="19" t="n">
        <v>0.1</v>
      </c>
    </row>
    <row r="17" customFormat="false" ht="15" hidden="false" customHeight="true" outlineLevel="0" collapsed="false">
      <c r="A17" s="20" t="s">
        <v>50</v>
      </c>
      <c r="C17" s="16" t="n">
        <f aca="false">'Income Statement'!C12/'Income Statement'!B12-1</f>
        <v>3.21427295994286</v>
      </c>
      <c r="D17" s="16" t="n">
        <f aca="false">'Income Statement'!D12/'Income Statement'!C12-1</f>
        <v>3.06693830857014</v>
      </c>
      <c r="E17" s="16" t="n">
        <f aca="false">'Income Statement'!E12/'Income Statement'!D12-1</f>
        <v>0.410356808604107</v>
      </c>
      <c r="F17" s="16" t="n">
        <f aca="false">'Income Statement'!F12/'Income Statement'!E12-1</f>
        <v>0.278846153846154</v>
      </c>
      <c r="G17" s="16" t="n">
        <f aca="false">'Income Statement'!G12/'Income Statement'!F12-1</f>
        <v>0.2096</v>
      </c>
      <c r="H17" s="16" t="n">
        <f aca="false">'Income Statement'!H12/'Income Statement'!G12-1</f>
        <v>0.15</v>
      </c>
      <c r="I17" s="16" t="n">
        <f aca="false">'Income Statement'!I12/'Income Statement'!H12-1</f>
        <v>0.109565217391304</v>
      </c>
      <c r="K17" s="18" t="s">
        <v>51</v>
      </c>
    </row>
    <row r="18" customFormat="false" ht="15" hidden="false" customHeight="true" outlineLevel="0" collapsed="false">
      <c r="A18" s="6" t="s">
        <v>52</v>
      </c>
      <c r="C18" s="16" t="n">
        <f aca="false">'Income Statement'!C13/'Income Statement'!B13-1</f>
        <v>0.991265171993428</v>
      </c>
      <c r="D18" s="16" t="n">
        <f aca="false">'Income Statement'!D13/'Income Statement'!C13-1</f>
        <v>0.142622147929687</v>
      </c>
      <c r="E18" s="19" t="n">
        <v>0.1</v>
      </c>
      <c r="F18" s="19" t="n">
        <v>0.1</v>
      </c>
      <c r="G18" s="19" t="n">
        <v>0.1</v>
      </c>
      <c r="H18" s="19" t="n">
        <v>0.1</v>
      </c>
      <c r="I18" s="19" t="n">
        <v>0.1</v>
      </c>
    </row>
    <row r="19" customFormat="false" ht="15" hidden="false" customHeight="true" outlineLevel="0" collapsed="false">
      <c r="A19" s="20" t="s">
        <v>53</v>
      </c>
      <c r="C19" s="16" t="n">
        <f aca="false">'Income Statement'!C17/'Balance Sheet'!B10</f>
        <v>0.0379258011933137</v>
      </c>
      <c r="D19" s="16" t="n">
        <f aca="false">'Income Statement'!D17/'Balance Sheet'!C10</f>
        <v>0.024324124840147</v>
      </c>
      <c r="E19" s="16" t="n">
        <f aca="false">'Income Statement'!E17/'Balance Sheet'!D10</f>
        <v>0.024</v>
      </c>
      <c r="F19" s="16" t="n">
        <f aca="false">'Income Statement'!F17/'Balance Sheet'!E10</f>
        <v>0.024</v>
      </c>
      <c r="G19" s="16" t="n">
        <f aca="false">'Income Statement'!G17/'Balance Sheet'!F10</f>
        <v>0.025</v>
      </c>
      <c r="H19" s="16" t="n">
        <f aca="false">'Income Statement'!H17/'Balance Sheet'!G10</f>
        <v>0.025</v>
      </c>
      <c r="I19" s="16" t="n">
        <f aca="false">'Income Statement'!I17/'Balance Sheet'!H10</f>
        <v>0.026</v>
      </c>
    </row>
    <row r="20" customFormat="false" ht="15" hidden="false" customHeight="true" outlineLevel="0" collapsed="false">
      <c r="A20" s="6" t="s">
        <v>54</v>
      </c>
      <c r="B20" s="16" t="n">
        <f aca="false">'Income Statement'!B19/'Income Statement'!B15</f>
        <v>0.240918433249843</v>
      </c>
      <c r="C20" s="16" t="n">
        <f aca="false">'Income Statement'!C19/'Income Statement'!C15</f>
        <v>0.20628638743201</v>
      </c>
      <c r="D20" s="16" t="n">
        <f aca="false">'Income Statement'!D19/'Income Statement'!D15</f>
        <v>0.179426649035771</v>
      </c>
      <c r="E20" s="19" t="n">
        <v>0.175</v>
      </c>
      <c r="F20" s="19" t="n">
        <v>0.17</v>
      </c>
      <c r="G20" s="19" t="n">
        <v>0.165</v>
      </c>
      <c r="H20" s="19" t="n">
        <v>0.16</v>
      </c>
      <c r="I20" s="19" t="n">
        <v>0.155</v>
      </c>
    </row>
    <row r="21" customFormat="false" ht="15" hidden="false" customHeight="true" outlineLevel="0" collapsed="false">
      <c r="A21" s="6" t="s">
        <v>55</v>
      </c>
      <c r="B21" s="16" t="n">
        <f aca="false">'Income Statement'!B20/'Income Statement'!B15</f>
        <v>0.338893785486923</v>
      </c>
      <c r="C21" s="16" t="n">
        <f aca="false">'Income Statement'!C20/'Income Statement'!C15</f>
        <v>0.29769531777189</v>
      </c>
      <c r="D21" s="16" t="n">
        <f aca="false">'Income Statement'!D20/'Income Statement'!D15</f>
        <v>0.303156568661692</v>
      </c>
      <c r="E21" s="17" t="n">
        <v>0.295</v>
      </c>
      <c r="F21" s="17" t="n">
        <v>0.285</v>
      </c>
      <c r="G21" s="17" t="n">
        <v>0.275</v>
      </c>
      <c r="H21" s="17" t="n">
        <v>0.27</v>
      </c>
      <c r="I21" s="17" t="n">
        <v>0.26</v>
      </c>
    </row>
    <row r="22" customFormat="false" ht="15" hidden="false" customHeight="true" outlineLevel="0" collapsed="false">
      <c r="A22" s="6" t="s">
        <v>56</v>
      </c>
      <c r="B22" s="16" t="n">
        <f aca="false">'Income Statement'!B21/'Income Statement'!B15</f>
        <v>0.179008841670086</v>
      </c>
      <c r="C22" s="16" t="n">
        <f aca="false">'Income Statement'!C21/'Income Statement'!C15</f>
        <v>0.172582180967296</v>
      </c>
      <c r="D22" s="16" t="n">
        <f aca="false">'Income Statement'!D21/'Income Statement'!D15</f>
        <v>0.168540917939399</v>
      </c>
      <c r="E22" s="19" t="n">
        <v>0.165</v>
      </c>
      <c r="F22" s="19" t="n">
        <v>0.16</v>
      </c>
      <c r="G22" s="19" t="n">
        <v>0.155</v>
      </c>
      <c r="H22" s="19" t="n">
        <v>0.15</v>
      </c>
      <c r="I22" s="19" t="n">
        <v>0.145</v>
      </c>
    </row>
    <row r="23" customFormat="false" ht="15" hidden="false" customHeight="true" outlineLevel="0" collapsed="false">
      <c r="A23" s="6" t="s">
        <v>57</v>
      </c>
      <c r="B23" s="16" t="n">
        <f aca="false">'Income Statement'!B22/'Income Statement'!B15</f>
        <v>0.240726233271418</v>
      </c>
      <c r="C23" s="16" t="n">
        <f aca="false">'Income Statement'!C22/'Income Statement'!C15</f>
        <v>0.224344161692261</v>
      </c>
      <c r="D23" s="16" t="n">
        <f aca="false">'Income Statement'!D22/'Income Statement'!D15</f>
        <v>0.194953497498446</v>
      </c>
      <c r="E23" s="19" t="n">
        <v>0.185</v>
      </c>
      <c r="F23" s="19" t="n">
        <v>0.175</v>
      </c>
      <c r="G23" s="19" t="n">
        <v>0.17</v>
      </c>
      <c r="H23" s="19" t="n">
        <v>0.165</v>
      </c>
      <c r="I23" s="19" t="n">
        <v>0.16</v>
      </c>
    </row>
    <row r="24" customFormat="false" ht="15" hidden="false" customHeight="true" outlineLevel="0" collapsed="false">
      <c r="A24" s="6" t="s">
        <v>58</v>
      </c>
      <c r="D24" s="16" t="n">
        <f aca="false">'Income Statement'!D26/'Income Statement'!D25</f>
        <v>0.0846941278712654</v>
      </c>
      <c r="E24" s="19" t="n">
        <v>0.25</v>
      </c>
      <c r="F24" s="19" t="n">
        <v>0.25</v>
      </c>
      <c r="G24" s="19" t="n">
        <v>0.25</v>
      </c>
      <c r="H24" s="19" t="n">
        <v>0.25</v>
      </c>
      <c r="I24" s="19" t="n">
        <v>0.25</v>
      </c>
      <c r="K24" s="18" t="s">
        <v>59</v>
      </c>
    </row>
    <row r="25" customFormat="false" ht="15" hidden="false" customHeight="true" outlineLevel="0" collapsed="false">
      <c r="A25" s="6" t="s">
        <v>60</v>
      </c>
      <c r="B25" s="16" t="n">
        <f aca="false">'Cash Flow'!B7/'Income Statement'!B15</f>
        <v>0.127763993501003</v>
      </c>
      <c r="C25" s="16" t="n">
        <f aca="false">'Cash Flow'!C7/'Income Statement'!C15</f>
        <v>0.0920242898784572</v>
      </c>
      <c r="D25" s="16" t="n">
        <f aca="false">'Cash Flow'!D7/'Income Statement'!D15</f>
        <v>0.0725248619426716</v>
      </c>
      <c r="E25" s="19" t="n">
        <v>0.07</v>
      </c>
      <c r="F25" s="19" t="n">
        <v>0.065</v>
      </c>
      <c r="G25" s="19" t="n">
        <v>0.06</v>
      </c>
      <c r="H25" s="19" t="n">
        <v>0.058</v>
      </c>
      <c r="I25" s="19" t="n">
        <v>0.055</v>
      </c>
    </row>
    <row r="26" customFormat="false" ht="15" hidden="false" customHeight="true" outlineLevel="0" collapsed="false">
      <c r="A26" s="6" t="s">
        <v>61</v>
      </c>
      <c r="B26" s="16" t="n">
        <f aca="false">'Cash Flow'!B6/'Income Statement'!B15</f>
        <v>0.0948827226822826</v>
      </c>
      <c r="C26" s="16" t="n">
        <f aca="false">'Cash Flow'!C6/'Income Statement'!C15</f>
        <v>0.0760780287858164</v>
      </c>
      <c r="D26" s="16" t="n">
        <f aca="false">'Cash Flow'!D6/'Income Statement'!D15</f>
        <v>0.064801566633106</v>
      </c>
      <c r="E26" s="19" t="n">
        <v>0.062</v>
      </c>
      <c r="F26" s="19" t="n">
        <v>0.062</v>
      </c>
      <c r="G26" s="19" t="n">
        <v>0.062</v>
      </c>
      <c r="H26" s="19" t="n">
        <v>0.062</v>
      </c>
      <c r="I26" s="19" t="n">
        <v>0.062</v>
      </c>
    </row>
    <row r="27" customFormat="false" ht="15" hidden="false" customHeight="true" outlineLevel="0" collapsed="false">
      <c r="A27" s="6" t="s">
        <v>62</v>
      </c>
      <c r="B27" s="16" t="n">
        <f aca="false">-'Cash Flow'!B17/'Income Statement'!B15</f>
        <v>0.0570909308461651</v>
      </c>
      <c r="C27" s="16" t="n">
        <f aca="false">-'Cash Flow'!C17/'Income Statement'!C15</f>
        <v>0.0611684578514232</v>
      </c>
      <c r="D27" s="16" t="n">
        <f aca="false">-'Cash Flow'!D17/'Income Statement'!D15</f>
        <v>0.069496927231597</v>
      </c>
      <c r="E27" s="19" t="n">
        <v>0.068</v>
      </c>
      <c r="F27" s="19" t="n">
        <v>0.068</v>
      </c>
      <c r="G27" s="19" t="n">
        <v>0.068</v>
      </c>
      <c r="H27" s="19" t="n">
        <v>0.068</v>
      </c>
      <c r="I27" s="19" t="n">
        <v>0.068</v>
      </c>
    </row>
    <row r="28" customFormat="false" ht="15" hidden="false" customHeight="true" outlineLevel="0" collapsed="false">
      <c r="A28" s="6" t="s">
        <v>63</v>
      </c>
      <c r="C28" s="16" t="n">
        <f aca="false">'Income Statement'!C31/'Income Statement'!B31-1</f>
        <v>0.165462464445348</v>
      </c>
      <c r="D28" s="16" t="n">
        <f aca="false">'Income Statement'!D31/'Income Statement'!C31-1</f>
        <v>0.1365338345182</v>
      </c>
      <c r="E28" s="19" t="n">
        <v>0.02</v>
      </c>
      <c r="F28" s="19" t="n">
        <v>0.02</v>
      </c>
      <c r="G28" s="19" t="n">
        <v>0.02</v>
      </c>
      <c r="H28" s="19" t="n">
        <v>0.02</v>
      </c>
      <c r="I28" s="19" t="n">
        <v>0.02</v>
      </c>
    </row>
    <row r="30" customFormat="false" ht="15" hidden="false" customHeight="true" outlineLevel="0" collapsed="false">
      <c r="A30" s="15" t="s">
        <v>64</v>
      </c>
    </row>
    <row r="31" customFormat="false" ht="15" hidden="false" customHeight="true" outlineLevel="0" collapsed="false">
      <c r="A31" s="6" t="s">
        <v>65</v>
      </c>
      <c r="B31" s="16" t="n">
        <f aca="false">'Balance Sheet'!B16/'Income Statement'!B15</f>
        <v>0.261149836370925</v>
      </c>
      <c r="C31" s="16" t="n">
        <f aca="false">'Balance Sheet'!C16/'Income Statement'!C15</f>
        <v>0.641031545961862</v>
      </c>
      <c r="D31" s="16" t="n">
        <f aca="false">'Balance Sheet'!D16/'Income Statement'!D15</f>
        <v>0.602499505999135</v>
      </c>
      <c r="E31" s="19" t="n">
        <v>0.6</v>
      </c>
      <c r="F31" s="19" t="n">
        <v>0.59</v>
      </c>
      <c r="G31" s="19" t="n">
        <v>0.58</v>
      </c>
      <c r="H31" s="19" t="n">
        <v>0.57</v>
      </c>
      <c r="I31" s="19" t="n">
        <v>0.56</v>
      </c>
      <c r="K31" s="18" t="s">
        <v>66</v>
      </c>
    </row>
    <row r="32" customFormat="false" ht="15" hidden="false" customHeight="true" outlineLevel="0" collapsed="false">
      <c r="A32" s="6" t="s">
        <v>67</v>
      </c>
      <c r="B32" s="16" t="n">
        <f aca="false">'Balance Sheet'!B23/'Income Statement'!B15</f>
        <v>0.258974396419051</v>
      </c>
      <c r="C32" s="16" t="n">
        <f aca="false">'Balance Sheet'!C23/'Income Statement'!C15</f>
        <v>0.208206488641084</v>
      </c>
      <c r="D32" s="16" t="n">
        <f aca="false">'Balance Sheet'!D23/'Income Statement'!D15</f>
        <v>0.205824284030848</v>
      </c>
      <c r="E32" s="19" t="n">
        <v>0.205</v>
      </c>
      <c r="F32" s="19" t="n">
        <v>0.205</v>
      </c>
      <c r="G32" s="19" t="n">
        <v>0.205</v>
      </c>
      <c r="H32" s="19" t="n">
        <v>0.205</v>
      </c>
      <c r="I32" s="19" t="n">
        <v>0.205</v>
      </c>
    </row>
    <row r="33" customFormat="false" ht="15" hidden="false" customHeight="true" outlineLevel="0" collapsed="false">
      <c r="A33" s="6" t="s">
        <v>68</v>
      </c>
      <c r="B33" s="21" t="n">
        <f aca="false">'Balance Sheet'!B25</f>
        <v>5233416</v>
      </c>
      <c r="C33" s="21" t="n">
        <f aca="false">'Balance Sheet'!C25</f>
        <v>3092692</v>
      </c>
      <c r="D33" s="21" t="n">
        <f aca="false">'Balance Sheet'!D25</f>
        <v>1815162</v>
      </c>
      <c r="E33" s="22" t="n">
        <v>1700000</v>
      </c>
      <c r="F33" s="22" t="n">
        <v>1600000</v>
      </c>
      <c r="G33" s="22" t="n">
        <v>1500000</v>
      </c>
      <c r="H33" s="22" t="n">
        <v>1400000</v>
      </c>
      <c r="I33" s="22" t="n">
        <v>1300000</v>
      </c>
      <c r="K33" s="18" t="s">
        <v>69</v>
      </c>
    </row>
    <row r="35" customFormat="false" ht="15" hidden="false" customHeight="true" outlineLevel="0" collapsed="false">
      <c r="A35" s="20" t="s">
        <v>70</v>
      </c>
    </row>
    <row r="36" customFormat="false" ht="15" hidden="false" customHeight="true" outlineLevel="0" collapsed="false">
      <c r="A36" s="20" t="s">
        <v>71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9" min="2" style="1" width="13.5"/>
    <col collapsed="false" customWidth="true" hidden="false" outlineLevel="0" max="10" min="10" style="1" width="2"/>
    <col collapsed="false" customWidth="true" hidden="false" outlineLevel="0" max="11" min="11" style="1" width="60"/>
  </cols>
  <sheetData>
    <row r="1" customFormat="false" ht="15" hidden="false" customHeight="true" outlineLevel="0" collapsed="false">
      <c r="A1" s="12" t="s">
        <v>72</v>
      </c>
    </row>
    <row r="2" customFormat="false" ht="15" hidden="false" customHeight="true" outlineLevel="0" collapsed="false">
      <c r="A2" s="11" t="s">
        <v>73</v>
      </c>
    </row>
    <row r="3" customFormat="false" ht="15" hidden="false" customHeight="true" outlineLevel="0" collapsed="false">
      <c r="A3" s="13"/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4" t="s">
        <v>32</v>
      </c>
      <c r="I3" s="14" t="s">
        <v>33</v>
      </c>
    </row>
    <row r="4" customFormat="false" ht="15" hidden="false" customHeight="true" outlineLevel="0" collapsed="false">
      <c r="A4" s="15" t="s">
        <v>74</v>
      </c>
    </row>
    <row r="5" customFormat="false" ht="15" hidden="false" customHeight="true" outlineLevel="0" collapsed="false">
      <c r="A5" s="6" t="s">
        <v>75</v>
      </c>
      <c r="C5" s="23" t="n">
        <v>17615</v>
      </c>
      <c r="D5" s="23" t="n">
        <v>27495.5</v>
      </c>
      <c r="E5" s="24" t="n">
        <f aca="false">D5*(1+E6)</f>
        <v>32444.69</v>
      </c>
      <c r="F5" s="24" t="n">
        <f aca="false">E5*(1+F6)</f>
        <v>37311.3935</v>
      </c>
      <c r="G5" s="24" t="n">
        <f aca="false">F5*(1+G6)</f>
        <v>42161.874655</v>
      </c>
      <c r="H5" s="24" t="n">
        <f aca="false">G5*(1+H6)</f>
        <v>46799.68086705</v>
      </c>
      <c r="I5" s="24" t="n">
        <f aca="false">H5*(1+I6)</f>
        <v>51479.648953755</v>
      </c>
    </row>
    <row r="6" customFormat="false" ht="15" hidden="false" customHeight="true" outlineLevel="0" collapsed="false">
      <c r="A6" s="6" t="s">
        <v>76</v>
      </c>
      <c r="D6" s="16" t="n">
        <f aca="false">D5/C5-1</f>
        <v>0.560913993755322</v>
      </c>
      <c r="E6" s="17" t="n">
        <v>0.18</v>
      </c>
      <c r="F6" s="17" t="n">
        <v>0.15</v>
      </c>
      <c r="G6" s="17" t="n">
        <v>0.13</v>
      </c>
      <c r="H6" s="17" t="n">
        <v>0.11</v>
      </c>
      <c r="I6" s="17" t="n">
        <v>0.1</v>
      </c>
    </row>
    <row r="7" customFormat="false" ht="15" hidden="false" customHeight="true" outlineLevel="0" collapsed="false">
      <c r="A7" s="6" t="s">
        <v>77</v>
      </c>
      <c r="C7" s="23" t="n">
        <v>3780.8</v>
      </c>
      <c r="D7" s="23" t="n">
        <v>5537.9</v>
      </c>
      <c r="E7" s="24" t="n">
        <f aca="false">D7*(1+E8)</f>
        <v>6756.238</v>
      </c>
      <c r="F7" s="24" t="n">
        <f aca="false">E7*(1+F8)</f>
        <v>7972.36084</v>
      </c>
      <c r="G7" s="24" t="n">
        <f aca="false">F7*(1+G8)</f>
        <v>9168.214966</v>
      </c>
      <c r="H7" s="24" t="n">
        <f aca="false">G7*(1+H8)</f>
        <v>10360.08291158</v>
      </c>
      <c r="I7" s="24" t="n">
        <f aca="false">H7*(1+I8)</f>
        <v>11499.6920318538</v>
      </c>
    </row>
    <row r="8" customFormat="false" ht="15" hidden="false" customHeight="true" outlineLevel="0" collapsed="false">
      <c r="A8" s="6" t="s">
        <v>78</v>
      </c>
      <c r="D8" s="16" t="n">
        <f aca="false">D7/C7-1</f>
        <v>0.46474291155311</v>
      </c>
      <c r="E8" s="19" t="n">
        <v>0.22</v>
      </c>
      <c r="F8" s="19" t="n">
        <v>0.18</v>
      </c>
      <c r="G8" s="19" t="n">
        <v>0.15</v>
      </c>
      <c r="H8" s="19" t="n">
        <v>0.13</v>
      </c>
      <c r="I8" s="19" t="n">
        <v>0.11</v>
      </c>
    </row>
    <row r="9" customFormat="false" ht="15" hidden="false" customHeight="true" outlineLevel="0" collapsed="false">
      <c r="A9" s="6" t="s">
        <v>79</v>
      </c>
      <c r="C9" s="23" t="n">
        <v>1820.2</v>
      </c>
      <c r="D9" s="23" t="n">
        <v>3389</v>
      </c>
      <c r="E9" s="24" t="n">
        <f aca="false">D9*(1+E10)</f>
        <v>4405.7</v>
      </c>
      <c r="F9" s="24" t="n">
        <f aca="false">E9*(1+F10)</f>
        <v>5463.068</v>
      </c>
      <c r="G9" s="24" t="n">
        <f aca="false">F9*(1+G10)</f>
        <v>6501.05092</v>
      </c>
      <c r="H9" s="24" t="n">
        <f aca="false">G9*(1+H10)</f>
        <v>7476.208558</v>
      </c>
      <c r="I9" s="24" t="n">
        <f aca="false">H9*(1+I10)</f>
        <v>8373.35358496</v>
      </c>
    </row>
    <row r="10" customFormat="false" ht="15" hidden="false" customHeight="true" outlineLevel="0" collapsed="false">
      <c r="A10" s="6" t="s">
        <v>80</v>
      </c>
      <c r="D10" s="16" t="n">
        <f aca="false">D9/C9-1</f>
        <v>0.861883309526426</v>
      </c>
      <c r="E10" s="19" t="n">
        <v>0.3</v>
      </c>
      <c r="F10" s="19" t="n">
        <v>0.24</v>
      </c>
      <c r="G10" s="19" t="n">
        <v>0.19</v>
      </c>
      <c r="H10" s="19" t="n">
        <v>0.15</v>
      </c>
      <c r="I10" s="19" t="n">
        <v>0.12</v>
      </c>
    </row>
    <row r="11" customFormat="false" ht="15" hidden="false" customHeight="true" outlineLevel="0" collapsed="false">
      <c r="A11" s="15" t="s">
        <v>81</v>
      </c>
      <c r="C11" s="25" t="n">
        <f aca="false">SUM(C5,C7,C9)</f>
        <v>23216</v>
      </c>
      <c r="D11" s="25" t="n">
        <f aca="false">SUM(D5,D7,D9)</f>
        <v>36422.4</v>
      </c>
      <c r="E11" s="25" t="n">
        <f aca="false">SUM(E5,E7,E9)</f>
        <v>43606.628</v>
      </c>
      <c r="F11" s="25" t="n">
        <f aca="false">SUM(F5,F7,F9)</f>
        <v>50746.82234</v>
      </c>
      <c r="G11" s="25" t="n">
        <f aca="false">SUM(G5,G7,G9)</f>
        <v>57831.140541</v>
      </c>
      <c r="H11" s="25" t="n">
        <f aca="false">SUM(H5,H7,H9)</f>
        <v>64635.97233663</v>
      </c>
      <c r="I11" s="25" t="n">
        <f aca="false">SUM(I5,I7,I9)</f>
        <v>71352.6945705688</v>
      </c>
    </row>
    <row r="12" customFormat="false" ht="15" hidden="false" customHeight="true" outlineLevel="0" collapsed="false">
      <c r="A12" s="6" t="s">
        <v>82</v>
      </c>
      <c r="C12" s="23" t="n">
        <v>2100</v>
      </c>
      <c r="D12" s="23" t="n">
        <v>11000</v>
      </c>
      <c r="E12" s="24" t="n">
        <f aca="false">D12*(1+E13)</f>
        <v>15620</v>
      </c>
      <c r="F12" s="24" t="n">
        <f aca="false">E12*(1+F13)</f>
        <v>20774.6</v>
      </c>
      <c r="G12" s="24" t="n">
        <f aca="false">F12*(1+G13)</f>
        <v>26175.996</v>
      </c>
      <c r="H12" s="24" t="n">
        <f aca="false">G12*(1+H13)</f>
        <v>31411.1952</v>
      </c>
      <c r="I12" s="24" t="n">
        <f aca="false">H12*(1+I13)</f>
        <v>36436.986432</v>
      </c>
    </row>
    <row r="13" customFormat="false" ht="15" hidden="false" customHeight="true" outlineLevel="0" collapsed="false">
      <c r="A13" s="6" t="s">
        <v>83</v>
      </c>
      <c r="D13" s="16" t="n">
        <f aca="false">D12/C12-1</f>
        <v>4.23809523809524</v>
      </c>
      <c r="E13" s="17" t="n">
        <v>0.42</v>
      </c>
      <c r="F13" s="17" t="n">
        <v>0.33</v>
      </c>
      <c r="G13" s="17" t="n">
        <v>0.26</v>
      </c>
      <c r="H13" s="17" t="n">
        <v>0.2</v>
      </c>
      <c r="I13" s="17" t="n">
        <v>0.16</v>
      </c>
    </row>
    <row r="15" customFormat="false" ht="15" hidden="false" customHeight="true" outlineLevel="0" collapsed="false">
      <c r="A15" s="15" t="s">
        <v>84</v>
      </c>
    </row>
    <row r="16" customFormat="false" ht="15" hidden="false" customHeight="true" outlineLevel="0" collapsed="false">
      <c r="A16" s="6" t="s">
        <v>85</v>
      </c>
      <c r="E16" s="19" t="n">
        <v>0.35</v>
      </c>
      <c r="F16" s="19" t="n">
        <v>0.35</v>
      </c>
      <c r="G16" s="19" t="n">
        <v>0.35</v>
      </c>
      <c r="H16" s="19" t="n">
        <v>0.35</v>
      </c>
      <c r="I16" s="19" t="n">
        <v>0.35</v>
      </c>
    </row>
    <row r="17" customFormat="false" ht="15" hidden="false" customHeight="true" outlineLevel="0" collapsed="false">
      <c r="A17" s="6" t="s">
        <v>86</v>
      </c>
      <c r="E17" s="26" t="n">
        <v>0.017</v>
      </c>
      <c r="F17" s="26" t="n">
        <v>0.0165</v>
      </c>
      <c r="G17" s="26" t="n">
        <v>0.016</v>
      </c>
      <c r="H17" s="26" t="n">
        <v>0.0155</v>
      </c>
      <c r="I17" s="26" t="n">
        <v>0.015</v>
      </c>
    </row>
    <row r="18" customFormat="false" ht="15" hidden="false" customHeight="true" outlineLevel="0" collapsed="false">
      <c r="A18" s="15" t="s">
        <v>87</v>
      </c>
      <c r="B18" s="27" t="n">
        <f aca="false">'Income Statement'!B10</f>
        <v>409140</v>
      </c>
      <c r="C18" s="27" t="n">
        <f aca="false">'Income Statement'!C10</f>
        <v>278114</v>
      </c>
      <c r="D18" s="27" t="n">
        <f aca="false">'Income Statement'!D10</f>
        <v>242947</v>
      </c>
      <c r="E18" s="28" t="n">
        <f aca="false">E11*E16*E17*1000</f>
        <v>259459.4366</v>
      </c>
      <c r="F18" s="28" t="n">
        <f aca="false">F11*F16*F17*1000</f>
        <v>293062.8990135</v>
      </c>
      <c r="G18" s="28" t="n">
        <f aca="false">G11*G16*G17*1000</f>
        <v>323854.3870296</v>
      </c>
      <c r="H18" s="28" t="n">
        <f aca="false">H11*H16*H17*1000</f>
        <v>350650.149926218</v>
      </c>
      <c r="I18" s="28" t="n">
        <f aca="false">I11*I16*I17*1000</f>
        <v>374601.646495486</v>
      </c>
    </row>
    <row r="19" customFormat="false" ht="15" hidden="false" customHeight="true" outlineLevel="0" collapsed="false">
      <c r="A19" s="6" t="s">
        <v>88</v>
      </c>
      <c r="C19" s="29" t="n">
        <f aca="false">'Income Statement'!C12/(C12*1000)</f>
        <v>0.067432380952381</v>
      </c>
      <c r="D19" s="29" t="n">
        <f aca="false">'Income Statement'!D12/(D12*1000)</f>
        <v>0.0523555454545455</v>
      </c>
      <c r="E19" s="26" t="n">
        <v>0.052</v>
      </c>
      <c r="F19" s="26" t="n">
        <v>0.05</v>
      </c>
      <c r="G19" s="26" t="n">
        <v>0.048</v>
      </c>
      <c r="H19" s="26" t="n">
        <v>0.046</v>
      </c>
      <c r="I19" s="26" t="n">
        <v>0.044</v>
      </c>
    </row>
    <row r="20" customFormat="false" ht="15" hidden="false" customHeight="true" outlineLevel="0" collapsed="false">
      <c r="A20" s="15" t="s">
        <v>89</v>
      </c>
      <c r="B20" s="27" t="n">
        <f aca="false">'Income Statement'!B12</f>
        <v>33602</v>
      </c>
      <c r="C20" s="27" t="n">
        <f aca="false">'Income Statement'!C12</f>
        <v>141608</v>
      </c>
      <c r="D20" s="27" t="n">
        <f aca="false">'Income Statement'!D12</f>
        <v>575911</v>
      </c>
      <c r="E20" s="28" t="n">
        <f aca="false">E12*E19*1000</f>
        <v>812240</v>
      </c>
      <c r="F20" s="28" t="n">
        <f aca="false">F12*F19*1000</f>
        <v>1038730</v>
      </c>
      <c r="G20" s="28" t="n">
        <f aca="false">G12*G19*1000</f>
        <v>1256447.808</v>
      </c>
      <c r="H20" s="28" t="n">
        <f aca="false">H12*H19*1000</f>
        <v>1444914.9792</v>
      </c>
      <c r="I20" s="28" t="n">
        <f aca="false">I12*I19*1000</f>
        <v>1603227.403008</v>
      </c>
    </row>
    <row r="22" customFormat="false" ht="15" hidden="false" customHeight="true" outlineLevel="0" collapsed="false">
      <c r="A22" s="15" t="s">
        <v>90</v>
      </c>
    </row>
    <row r="23" customFormat="false" ht="15" hidden="false" customHeight="true" outlineLevel="0" collapsed="false">
      <c r="A23" s="6" t="s">
        <v>91</v>
      </c>
      <c r="C23" s="30" t="n">
        <v>0.0055</v>
      </c>
      <c r="D23" s="30" t="n">
        <v>0.0055</v>
      </c>
      <c r="E23" s="30" t="n">
        <v>0.0055</v>
      </c>
      <c r="F23" s="30" t="n">
        <v>0.0056</v>
      </c>
      <c r="G23" s="30" t="n">
        <v>0.0057</v>
      </c>
      <c r="H23" s="30" t="n">
        <v>0.0058</v>
      </c>
      <c r="I23" s="30" t="n">
        <v>0.0058</v>
      </c>
    </row>
    <row r="24" customFormat="false" ht="15" hidden="false" customHeight="true" outlineLevel="0" collapsed="false">
      <c r="A24" s="6" t="s">
        <v>92</v>
      </c>
      <c r="C24" s="30" t="n">
        <v>0.0337</v>
      </c>
      <c r="D24" s="30" t="n">
        <v>0.028</v>
      </c>
      <c r="E24" s="30" t="n">
        <v>0.029</v>
      </c>
      <c r="F24" s="30" t="n">
        <v>0.03</v>
      </c>
      <c r="G24" s="30" t="n">
        <v>0.03</v>
      </c>
      <c r="H24" s="30" t="n">
        <v>0.031</v>
      </c>
      <c r="I24" s="30" t="n">
        <v>0.031</v>
      </c>
    </row>
    <row r="25" customFormat="false" ht="15" hidden="false" customHeight="true" outlineLevel="0" collapsed="false">
      <c r="A25" s="6" t="s">
        <v>93</v>
      </c>
      <c r="C25" s="29" t="n">
        <f aca="false">'Income Statement'!C17/'Balance Sheet'!B10</f>
        <v>0.0379258011933137</v>
      </c>
      <c r="D25" s="29" t="n">
        <f aca="false">'Income Statement'!D17/'Balance Sheet'!C10</f>
        <v>0.024324124840147</v>
      </c>
      <c r="E25" s="26" t="n">
        <v>0.024</v>
      </c>
      <c r="F25" s="26" t="n">
        <v>0.024</v>
      </c>
      <c r="G25" s="26" t="n">
        <v>0.025</v>
      </c>
      <c r="H25" s="26" t="n">
        <v>0.025</v>
      </c>
      <c r="I25" s="26" t="n">
        <v>0.026</v>
      </c>
    </row>
    <row r="26" customFormat="false" ht="15" hidden="false" customHeight="true" outlineLevel="0" collapsed="false">
      <c r="A26" s="15" t="s">
        <v>94</v>
      </c>
      <c r="B26" s="27" t="n">
        <f aca="false">'Income Statement'!B17</f>
        <v>54945</v>
      </c>
      <c r="C26" s="27" t="n">
        <f aca="false">'Income Statement'!C17</f>
        <v>31712</v>
      </c>
      <c r="D26" s="27" t="n">
        <f aca="false">'Income Statement'!D17</f>
        <v>30319</v>
      </c>
      <c r="E26" s="28" t="n">
        <f aca="false">'Balance Sheet'!D10*E25</f>
        <v>36401.664</v>
      </c>
      <c r="F26" s="28" t="n">
        <f aca="false">'Balance Sheet'!E10*F25</f>
        <v>42953.96352</v>
      </c>
      <c r="G26" s="28" t="n">
        <f aca="false">'Balance Sheet'!F10*G25</f>
        <v>51902.70592</v>
      </c>
      <c r="H26" s="28" t="n">
        <f aca="false">'Balance Sheet'!G10*H25</f>
        <v>59688.111808</v>
      </c>
      <c r="I26" s="28" t="n">
        <f aca="false">'Balance Sheet'!H10*I25</f>
        <v>70145.4689967616</v>
      </c>
    </row>
    <row r="28" customFormat="false" ht="15" hidden="false" customHeight="true" outlineLevel="0" collapsed="false">
      <c r="A28" s="20" t="s">
        <v>95</v>
      </c>
      <c r="B28" s="31" t="n">
        <f aca="false">B18-'Income Statement'!B10</f>
        <v>0</v>
      </c>
      <c r="C28" s="31" t="n">
        <f aca="false">C18-'Income Statement'!C10</f>
        <v>0</v>
      </c>
      <c r="D28" s="31" t="n">
        <f aca="false">D18-'Income Statement'!D10</f>
        <v>0</v>
      </c>
      <c r="E28" s="31" t="n">
        <f aca="false">E18*'Regional Breakdown'!E42-'Income Statement'!E10</f>
        <v>0</v>
      </c>
      <c r="F28" s="31" t="n">
        <f aca="false">F18*'Regional Breakdown'!F42-'Income Statement'!F10</f>
        <v>0</v>
      </c>
      <c r="G28" s="31" t="n">
        <f aca="false">G18*'Regional Breakdown'!G42-'Income Statement'!G10</f>
        <v>0</v>
      </c>
      <c r="H28" s="31" t="n">
        <f aca="false">H18*'Regional Breakdown'!H42-'Income Statement'!H10</f>
        <v>0</v>
      </c>
      <c r="I28" s="31" t="n">
        <f aca="false">I18*'Regional Breakdown'!I42-'Income Statement'!I10</f>
        <v>0</v>
      </c>
    </row>
    <row r="29" customFormat="false" ht="15" hidden="false" customHeight="true" outlineLevel="0" collapsed="false">
      <c r="A29" s="20" t="s">
        <v>96</v>
      </c>
      <c r="B29" s="31" t="n">
        <f aca="false">B20-'Income Statement'!B12</f>
        <v>0</v>
      </c>
      <c r="C29" s="31" t="n">
        <f aca="false">C20-'Income Statement'!C12</f>
        <v>0</v>
      </c>
      <c r="D29" s="31" t="n">
        <f aca="false">D20-'Income Statement'!D12</f>
        <v>0</v>
      </c>
      <c r="E29" s="31" t="n">
        <f aca="false">E20*'Regional Breakdown'!E42-'Income Statement'!E12</f>
        <v>0</v>
      </c>
      <c r="F29" s="31" t="n">
        <f aca="false">F20*'Regional Breakdown'!F42-'Income Statement'!F12</f>
        <v>0</v>
      </c>
      <c r="G29" s="31" t="n">
        <f aca="false">G20*'Regional Breakdown'!G42-'Income Statement'!G12</f>
        <v>0</v>
      </c>
      <c r="H29" s="31" t="n">
        <f aca="false">H20*'Regional Breakdown'!H42-'Income Statement'!H12</f>
        <v>0</v>
      </c>
      <c r="I29" s="31" t="n">
        <f aca="false">I20*'Regional Breakdown'!I42-'Income Statement'!I12</f>
        <v>0</v>
      </c>
    </row>
    <row r="30" customFormat="false" ht="15" hidden="false" customHeight="true" outlineLevel="0" collapsed="false">
      <c r="A30" s="20" t="s">
        <v>97</v>
      </c>
      <c r="B30" s="31" t="n">
        <f aca="false">B26-'Income Statement'!B17</f>
        <v>0</v>
      </c>
      <c r="C30" s="31" t="n">
        <f aca="false">C26-'Income Statement'!C17</f>
        <v>0</v>
      </c>
      <c r="D30" s="31" t="n">
        <f aca="false">D26-'Income Statement'!D17</f>
        <v>0</v>
      </c>
      <c r="E30" s="31" t="n">
        <f aca="false">E26-'Income Statement'!E17</f>
        <v>0</v>
      </c>
      <c r="F30" s="31" t="n">
        <f aca="false">F26-'Income Statement'!F17</f>
        <v>0</v>
      </c>
      <c r="G30" s="31" t="n">
        <f aca="false">G26-'Income Statement'!G17</f>
        <v>0</v>
      </c>
      <c r="H30" s="31" t="n">
        <f aca="false">H26-'Income Statement'!H17</f>
        <v>0</v>
      </c>
      <c r="I30" s="31" t="n">
        <f aca="false">I26-'Income Statement'!I17</f>
        <v>0</v>
      </c>
    </row>
    <row r="32" customFormat="false" ht="15" hidden="false" customHeight="true" outlineLevel="0" collapsed="false">
      <c r="A32" s="20" t="s">
        <v>98</v>
      </c>
    </row>
    <row r="33" customFormat="false" ht="15" hidden="false" customHeight="true" outlineLevel="0" collapsed="false">
      <c r="A33" s="20" t="s">
        <v>99</v>
      </c>
    </row>
    <row r="34" customFormat="false" ht="15" hidden="false" customHeight="true" outlineLevel="0" collapsed="false">
      <c r="A34" s="20" t="s">
        <v>100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9" min="2" style="1" width="13.5"/>
    <col collapsed="false" customWidth="true" hidden="false" outlineLevel="0" max="10" min="10" style="1" width="2"/>
    <col collapsed="false" customWidth="true" hidden="false" outlineLevel="0" max="11" min="11" style="1" width="60"/>
  </cols>
  <sheetData>
    <row r="1" customFormat="false" ht="15" hidden="false" customHeight="true" outlineLevel="0" collapsed="false">
      <c r="A1" s="12" t="s">
        <v>101</v>
      </c>
    </row>
    <row r="2" customFormat="false" ht="15" hidden="false" customHeight="true" outlineLevel="0" collapsed="false">
      <c r="A2" s="11" t="s">
        <v>102</v>
      </c>
    </row>
    <row r="3" customFormat="false" ht="15" hidden="false" customHeight="true" outlineLevel="0" collapsed="false">
      <c r="A3" s="13"/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4" t="s">
        <v>32</v>
      </c>
      <c r="I3" s="14" t="s">
        <v>33</v>
      </c>
    </row>
    <row r="4" customFormat="false" ht="15" hidden="false" customHeight="true" outlineLevel="0" collapsed="false">
      <c r="A4" s="15" t="s">
        <v>103</v>
      </c>
      <c r="B4" s="32" t="n">
        <v>1</v>
      </c>
      <c r="C4" s="33" t="str">
        <f aca="false">CHOOSE(B4,"STANDARD CASE","BEST CASE","LOW CASE")</f>
        <v>STANDARD CASE</v>
      </c>
    </row>
    <row r="6" customFormat="false" ht="15" hidden="false" customHeight="true" outlineLevel="0" collapsed="false">
      <c r="A6" s="15" t="s">
        <v>104</v>
      </c>
    </row>
    <row r="7" customFormat="false" ht="15" hidden="false" customHeight="true" outlineLevel="0" collapsed="false">
      <c r="A7" s="6" t="s">
        <v>105</v>
      </c>
      <c r="B7" s="19" t="n">
        <v>0.89</v>
      </c>
      <c r="C7" s="19" t="n">
        <v>0.897</v>
      </c>
      <c r="D7" s="19" t="n">
        <v>0.822</v>
      </c>
      <c r="E7" s="17" t="n">
        <v>0.8</v>
      </c>
      <c r="F7" s="17" t="n">
        <v>0.78</v>
      </c>
      <c r="G7" s="17" t="n">
        <v>0.76</v>
      </c>
      <c r="H7" s="17" t="n">
        <v>0.75</v>
      </c>
      <c r="I7" s="17" t="n">
        <v>0.74</v>
      </c>
    </row>
    <row r="8" customFormat="false" ht="15" hidden="false" customHeight="true" outlineLevel="0" collapsed="false">
      <c r="A8" s="6" t="s">
        <v>106</v>
      </c>
      <c r="B8" s="19" t="n">
        <v>0.005</v>
      </c>
      <c r="C8" s="19" t="n">
        <v>0.005</v>
      </c>
      <c r="D8" s="19" t="n">
        <v>0.01</v>
      </c>
      <c r="E8" s="17" t="n">
        <v>0.02</v>
      </c>
      <c r="F8" s="17" t="n">
        <v>0.03</v>
      </c>
      <c r="G8" s="17" t="n">
        <v>0.04</v>
      </c>
      <c r="H8" s="17" t="n">
        <v>0.045</v>
      </c>
      <c r="I8" s="17" t="n">
        <v>0.05</v>
      </c>
    </row>
    <row r="9" customFormat="false" ht="15" hidden="false" customHeight="true" outlineLevel="0" collapsed="false">
      <c r="A9" s="6" t="s">
        <v>107</v>
      </c>
      <c r="B9" s="19" t="n">
        <v>0.005</v>
      </c>
      <c r="C9" s="19" t="n">
        <v>0.005</v>
      </c>
      <c r="D9" s="19" t="n">
        <v>0.01</v>
      </c>
      <c r="E9" s="17" t="n">
        <v>0.015</v>
      </c>
      <c r="F9" s="17" t="n">
        <v>0.02</v>
      </c>
      <c r="G9" s="17" t="n">
        <v>0.03</v>
      </c>
      <c r="H9" s="17" t="n">
        <v>0.035</v>
      </c>
      <c r="I9" s="17" t="n">
        <v>0.04</v>
      </c>
    </row>
    <row r="10" customFormat="false" ht="15" hidden="false" customHeight="true" outlineLevel="0" collapsed="false">
      <c r="A10" s="6" t="s">
        <v>108</v>
      </c>
      <c r="B10" s="16" t="n">
        <f aca="false">1-B7-B8-B9</f>
        <v>0.1</v>
      </c>
      <c r="C10" s="16" t="n">
        <f aca="false">1-C7-C8-C9</f>
        <v>0.093</v>
      </c>
      <c r="D10" s="16" t="n">
        <f aca="false">1-D7-D8-D9</f>
        <v>0.158</v>
      </c>
      <c r="E10" s="16" t="n">
        <f aca="false">1-E7-E8-E9</f>
        <v>0.165</v>
      </c>
      <c r="F10" s="16" t="n">
        <f aca="false">1-F7-F8-F9</f>
        <v>0.17</v>
      </c>
      <c r="G10" s="16" t="n">
        <f aca="false">1-G7-G8-G9</f>
        <v>0.17</v>
      </c>
      <c r="H10" s="16" t="n">
        <f aca="false">1-H7-H8-H9</f>
        <v>0.17</v>
      </c>
      <c r="I10" s="16" t="n">
        <f aca="false">1-I7-I8-I9</f>
        <v>0.17</v>
      </c>
    </row>
    <row r="12" customFormat="false" ht="15" hidden="false" customHeight="true" outlineLevel="0" collapsed="false">
      <c r="A12" s="15" t="s">
        <v>109</v>
      </c>
    </row>
    <row r="13" customFormat="false" ht="15" hidden="false" customHeight="true" outlineLevel="0" collapsed="false">
      <c r="A13" s="20" t="s">
        <v>110</v>
      </c>
      <c r="B13" s="34" t="n">
        <f aca="false">'Income Statement'!B11</f>
        <v>323972</v>
      </c>
      <c r="C13" s="34" t="n">
        <f aca="false">'Income Statement'!C11</f>
        <v>350810</v>
      </c>
      <c r="D13" s="34" t="n">
        <f aca="false">'Income Statement'!D11</f>
        <v>360903</v>
      </c>
      <c r="E13" s="21" t="n">
        <f aca="false">D13*(1+Assumptions!E16)</f>
        <v>389775.24</v>
      </c>
      <c r="F13" s="21" t="n">
        <f aca="false">E13*(1+Assumptions!F16)</f>
        <v>424855.0116</v>
      </c>
      <c r="G13" s="21" t="n">
        <f aca="false">F13*(1+Assumptions!G16)</f>
        <v>467340.51276</v>
      </c>
      <c r="H13" s="21" t="n">
        <f aca="false">G13*(1+Assumptions!H16)</f>
        <v>514074.564036</v>
      </c>
      <c r="I13" s="21" t="n">
        <f aca="false">H13*(1+Assumptions!I16)</f>
        <v>565482.0204396</v>
      </c>
    </row>
    <row r="14" customFormat="false" ht="15" hidden="false" customHeight="true" outlineLevel="0" collapsed="false">
      <c r="A14" s="20" t="s">
        <v>111</v>
      </c>
      <c r="B14" s="34" t="n">
        <f aca="false">'Income Statement'!B13</f>
        <v>94335</v>
      </c>
      <c r="C14" s="34" t="n">
        <f aca="false">'Income Statement'!C13</f>
        <v>187846</v>
      </c>
      <c r="D14" s="34" t="n">
        <f aca="false">'Income Statement'!D13</f>
        <v>214637</v>
      </c>
      <c r="E14" s="21" t="n">
        <f aca="false">D14*(1+Assumptions!E18)</f>
        <v>236100.7</v>
      </c>
      <c r="F14" s="21" t="n">
        <f aca="false">E14*(1+Assumptions!F18)</f>
        <v>259710.77</v>
      </c>
      <c r="G14" s="21" t="n">
        <f aca="false">F14*(1+Assumptions!G18)</f>
        <v>285681.847</v>
      </c>
      <c r="H14" s="21" t="n">
        <f aca="false">G14*(1+Assumptions!H18)</f>
        <v>314250.0317</v>
      </c>
      <c r="I14" s="21" t="n">
        <f aca="false">H14*(1+Assumptions!I18)</f>
        <v>345675.03487</v>
      </c>
    </row>
    <row r="15" customFormat="false" ht="15" hidden="false" customHeight="true" outlineLevel="0" collapsed="false">
      <c r="A15" s="6" t="s">
        <v>112</v>
      </c>
      <c r="B15" s="21" t="n">
        <f aca="false">'Revenue Drivers'!B18+'Revenue Drivers'!B20+B13+B14</f>
        <v>861049</v>
      </c>
      <c r="C15" s="21" t="n">
        <f aca="false">'Revenue Drivers'!C18+'Revenue Drivers'!C20+C13+C14</f>
        <v>958378</v>
      </c>
      <c r="D15" s="21" t="n">
        <f aca="false">'Revenue Drivers'!D18+'Revenue Drivers'!D20+D13+D14</f>
        <v>1394398</v>
      </c>
      <c r="E15" s="21" t="n">
        <f aca="false">'Revenue Drivers'!E18+'Revenue Drivers'!E20+E13+E14</f>
        <v>1697575.3766</v>
      </c>
      <c r="F15" s="21" t="n">
        <f aca="false">'Revenue Drivers'!F18+'Revenue Drivers'!F20+F13+F14</f>
        <v>2016358.6806135</v>
      </c>
      <c r="G15" s="21" t="n">
        <f aca="false">'Revenue Drivers'!G18+'Revenue Drivers'!G20+G13+G14</f>
        <v>2333324.5547896</v>
      </c>
      <c r="H15" s="21" t="n">
        <f aca="false">'Revenue Drivers'!H18+'Revenue Drivers'!H20+H13+H14</f>
        <v>2623889.72486222</v>
      </c>
      <c r="I15" s="21" t="n">
        <f aca="false">'Revenue Drivers'!I18+'Revenue Drivers'!I20+I13+I14</f>
        <v>2888986.10481309</v>
      </c>
    </row>
    <row r="16" customFormat="false" ht="15" hidden="false" customHeight="true" outlineLevel="0" collapsed="false">
      <c r="A16" s="6" t="s">
        <v>113</v>
      </c>
      <c r="B16" s="21" t="n">
        <f aca="false">B15*B7</f>
        <v>766333.61</v>
      </c>
      <c r="C16" s="21" t="n">
        <f aca="false">C15*C7</f>
        <v>859665.066</v>
      </c>
      <c r="D16" s="21" t="n">
        <f aca="false">D15*D7</f>
        <v>1146195.156</v>
      </c>
      <c r="E16" s="21" t="n">
        <f aca="false">E15*E7</f>
        <v>1358060.30128</v>
      </c>
      <c r="F16" s="21" t="n">
        <f aca="false">F15*F7</f>
        <v>1572759.77087853</v>
      </c>
      <c r="G16" s="21" t="n">
        <f aca="false">G15*G7</f>
        <v>1773326.6616401</v>
      </c>
      <c r="H16" s="21" t="n">
        <f aca="false">H15*H7</f>
        <v>1967917.29364666</v>
      </c>
      <c r="I16" s="21" t="n">
        <f aca="false">I15*I7</f>
        <v>2137849.71756168</v>
      </c>
    </row>
    <row r="17" customFormat="false" ht="15" hidden="false" customHeight="true" outlineLevel="0" collapsed="false">
      <c r="A17" s="6" t="s">
        <v>114</v>
      </c>
      <c r="B17" s="21" t="n">
        <f aca="false">B15*B8</f>
        <v>4305.245</v>
      </c>
      <c r="C17" s="21" t="n">
        <f aca="false">C15*C8</f>
        <v>4791.89</v>
      </c>
      <c r="D17" s="21" t="n">
        <f aca="false">D15*D8</f>
        <v>13943.98</v>
      </c>
      <c r="E17" s="21" t="n">
        <f aca="false">E15*E8</f>
        <v>33951.507532</v>
      </c>
      <c r="F17" s="21" t="n">
        <f aca="false">F15*F8</f>
        <v>60490.760418405</v>
      </c>
      <c r="G17" s="21" t="n">
        <f aca="false">G15*G8</f>
        <v>93332.982191584</v>
      </c>
      <c r="H17" s="21" t="n">
        <f aca="false">H15*H8</f>
        <v>118075.0376188</v>
      </c>
      <c r="I17" s="21" t="n">
        <f aca="false">I15*I8</f>
        <v>144449.305240654</v>
      </c>
    </row>
    <row r="18" customFormat="false" ht="15" hidden="false" customHeight="true" outlineLevel="0" collapsed="false">
      <c r="A18" s="6" t="s">
        <v>115</v>
      </c>
      <c r="B18" s="21" t="n">
        <f aca="false">B15*B9</f>
        <v>4305.245</v>
      </c>
      <c r="C18" s="21" t="n">
        <f aca="false">C15*C9</f>
        <v>4791.89</v>
      </c>
      <c r="D18" s="21" t="n">
        <f aca="false">D15*D9</f>
        <v>13943.98</v>
      </c>
      <c r="E18" s="21" t="n">
        <f aca="false">E15*E9</f>
        <v>25463.630649</v>
      </c>
      <c r="F18" s="21" t="n">
        <f aca="false">F15*F9</f>
        <v>40327.17361227</v>
      </c>
      <c r="G18" s="21" t="n">
        <f aca="false">G15*G9</f>
        <v>69999.736643688</v>
      </c>
      <c r="H18" s="21" t="n">
        <f aca="false">H15*H9</f>
        <v>91836.1403701776</v>
      </c>
      <c r="I18" s="21" t="n">
        <f aca="false">I15*I9</f>
        <v>115559.444192523</v>
      </c>
    </row>
    <row r="19" customFormat="false" ht="15" hidden="false" customHeight="true" outlineLevel="0" collapsed="false">
      <c r="A19" s="6" t="s">
        <v>116</v>
      </c>
      <c r="B19" s="21" t="n">
        <f aca="false">B15*B10</f>
        <v>86104.9</v>
      </c>
      <c r="C19" s="21" t="n">
        <f aca="false">C15*C10</f>
        <v>89129.154</v>
      </c>
      <c r="D19" s="21" t="n">
        <f aca="false">D15*D10</f>
        <v>220314.884</v>
      </c>
      <c r="E19" s="21" t="n">
        <f aca="false">E15*E10</f>
        <v>280099.937139</v>
      </c>
      <c r="F19" s="21" t="n">
        <f aca="false">F15*F10</f>
        <v>342780.975704295</v>
      </c>
      <c r="G19" s="21" t="n">
        <f aca="false">G15*G10</f>
        <v>396665.174314232</v>
      </c>
      <c r="H19" s="21" t="n">
        <f aca="false">H15*H10</f>
        <v>446061.253226577</v>
      </c>
      <c r="I19" s="21" t="n">
        <f aca="false">I15*I10</f>
        <v>491127.637818225</v>
      </c>
    </row>
    <row r="20" customFormat="false" ht="15" hidden="false" customHeight="true" outlineLevel="0" collapsed="false">
      <c r="A20" s="15" t="s">
        <v>117</v>
      </c>
      <c r="B20" s="28" t="n">
        <f aca="false">SUM(B16:B19)</f>
        <v>861049</v>
      </c>
      <c r="C20" s="28" t="n">
        <f aca="false">SUM(C16:C19)</f>
        <v>958378</v>
      </c>
      <c r="D20" s="28" t="n">
        <f aca="false">SUM(D16:D19)</f>
        <v>1394398</v>
      </c>
      <c r="E20" s="28" t="n">
        <f aca="false">SUM(E16:E19)</f>
        <v>1697575.3766</v>
      </c>
      <c r="F20" s="28" t="n">
        <f aca="false">SUM(F16:F19)</f>
        <v>2016358.6806135</v>
      </c>
      <c r="G20" s="28" t="n">
        <f aca="false">SUM(G16:G19)</f>
        <v>2333324.5547896</v>
      </c>
      <c r="H20" s="28" t="n">
        <f aca="false">SUM(H16:H19)</f>
        <v>2623889.72486222</v>
      </c>
      <c r="I20" s="28" t="n">
        <f aca="false">SUM(I16:I19)</f>
        <v>2888986.10481309</v>
      </c>
    </row>
    <row r="22" customFormat="false" ht="15" hidden="false" customHeight="true" outlineLevel="0" collapsed="false">
      <c r="A22" s="15" t="s">
        <v>118</v>
      </c>
    </row>
    <row r="23" customFormat="false" ht="15" hidden="false" customHeight="true" outlineLevel="0" collapsed="false">
      <c r="A23" s="6" t="s">
        <v>119</v>
      </c>
      <c r="C23" s="16" t="n">
        <f aca="false">C16/B16-1</f>
        <v>0.121789589784533</v>
      </c>
      <c r="D23" s="16" t="n">
        <f aca="false">D16/C16-1</f>
        <v>0.333304331340597</v>
      </c>
      <c r="E23" s="16" t="n">
        <f aca="false">E16/D16-1</f>
        <v>0.184842122365417</v>
      </c>
      <c r="F23" s="16" t="n">
        <f aca="false">F16/E16-1</f>
        <v>0.158092736674632</v>
      </c>
      <c r="G23" s="16" t="n">
        <f aca="false">G16/F16-1</f>
        <v>0.127525445700796</v>
      </c>
      <c r="H23" s="16" t="n">
        <f aca="false">H16/G16-1</f>
        <v>0.10973197223945</v>
      </c>
      <c r="I23" s="16" t="n">
        <f aca="false">I16/H16-1</f>
        <v>0.0863514053479992</v>
      </c>
    </row>
    <row r="24" customFormat="false" ht="15" hidden="false" customHeight="true" outlineLevel="0" collapsed="false">
      <c r="A24" s="6" t="s">
        <v>120</v>
      </c>
      <c r="C24" s="16" t="n">
        <f aca="false">C17/B17-1</f>
        <v>0.113035378938946</v>
      </c>
      <c r="D24" s="16" t="n">
        <f aca="false">D17/C17-1</f>
        <v>1.90991237277984</v>
      </c>
      <c r="E24" s="16" t="n">
        <f aca="false">E17/D17-1</f>
        <v>1.43485056146093</v>
      </c>
      <c r="F24" s="16" t="n">
        <f aca="false">F17/E17-1</f>
        <v>0.781681133345587</v>
      </c>
      <c r="G24" s="16" t="n">
        <f aca="false">G17/F17-1</f>
        <v>0.542929557274773</v>
      </c>
      <c r="H24" s="16" t="n">
        <f aca="false">H17/G17-1</f>
        <v>0.265094448352973</v>
      </c>
      <c r="I24" s="16" t="n">
        <f aca="false">I17/H17-1</f>
        <v>0.223368699716215</v>
      </c>
    </row>
    <row r="25" customFormat="false" ht="15" hidden="false" customHeight="true" outlineLevel="0" collapsed="false">
      <c r="A25" s="6" t="s">
        <v>121</v>
      </c>
      <c r="C25" s="16" t="n">
        <f aca="false">C18/B18-1</f>
        <v>0.113035378938946</v>
      </c>
      <c r="D25" s="16" t="n">
        <f aca="false">D18/C18-1</f>
        <v>1.90991237277984</v>
      </c>
      <c r="E25" s="16" t="n">
        <f aca="false">E18/D18-1</f>
        <v>0.826137921095699</v>
      </c>
      <c r="F25" s="16" t="n">
        <f aca="false">F18/E18-1</f>
        <v>0.583716562973856</v>
      </c>
      <c r="G25" s="16" t="n">
        <f aca="false">G18/F18-1</f>
        <v>0.735795751934119</v>
      </c>
      <c r="H25" s="16" t="n">
        <f aca="false">H18/G18-1</f>
        <v>0.311949798291972</v>
      </c>
      <c r="I25" s="16" t="n">
        <f aca="false">I18/H18-1</f>
        <v>0.258322091136679</v>
      </c>
    </row>
    <row r="27" customFormat="false" ht="15" hidden="false" customHeight="true" outlineLevel="0" collapsed="false">
      <c r="A27" s="15" t="s">
        <v>122</v>
      </c>
    </row>
    <row r="28" customFormat="false" ht="15" hidden="false" customHeight="true" outlineLevel="0" collapsed="false">
      <c r="A28" s="6" t="s">
        <v>123</v>
      </c>
      <c r="E28" s="17" t="n">
        <v>0.03</v>
      </c>
      <c r="F28" s="17" t="n">
        <v>0.03</v>
      </c>
      <c r="G28" s="17" t="n">
        <v>0.03</v>
      </c>
      <c r="H28" s="17" t="n">
        <v>0.03</v>
      </c>
      <c r="I28" s="17" t="n">
        <v>0.03</v>
      </c>
    </row>
    <row r="29" customFormat="false" ht="15" hidden="false" customHeight="true" outlineLevel="0" collapsed="false">
      <c r="A29" s="6" t="s">
        <v>124</v>
      </c>
      <c r="E29" s="17" t="n">
        <v>0.08</v>
      </c>
      <c r="F29" s="17" t="n">
        <v>0.08</v>
      </c>
      <c r="G29" s="17" t="n">
        <v>0.08</v>
      </c>
      <c r="H29" s="17" t="n">
        <v>0.08</v>
      </c>
      <c r="I29" s="17" t="n">
        <v>0.08</v>
      </c>
    </row>
    <row r="30" customFormat="false" ht="15" hidden="false" customHeight="true" outlineLevel="0" collapsed="false">
      <c r="A30" s="6" t="s">
        <v>125</v>
      </c>
      <c r="E30" s="17" t="n">
        <v>0.12</v>
      </c>
      <c r="F30" s="17" t="n">
        <v>0.12</v>
      </c>
      <c r="G30" s="17" t="n">
        <v>0.12</v>
      </c>
      <c r="H30" s="17" t="n">
        <v>0.12</v>
      </c>
      <c r="I30" s="17" t="n">
        <v>0.12</v>
      </c>
    </row>
    <row r="31" customFormat="false" ht="15" hidden="false" customHeight="true" outlineLevel="0" collapsed="false">
      <c r="A31" s="6" t="s">
        <v>126</v>
      </c>
      <c r="E31" s="17" t="n">
        <v>-0.04</v>
      </c>
      <c r="F31" s="17" t="n">
        <v>-0.04</v>
      </c>
      <c r="G31" s="17" t="n">
        <v>-0.04</v>
      </c>
      <c r="H31" s="17" t="n">
        <v>-0.04</v>
      </c>
      <c r="I31" s="17" t="n">
        <v>-0.04</v>
      </c>
    </row>
    <row r="32" customFormat="false" ht="15" hidden="false" customHeight="true" outlineLevel="0" collapsed="false">
      <c r="A32" s="6" t="s">
        <v>127</v>
      </c>
      <c r="E32" s="17" t="n">
        <v>-0.08</v>
      </c>
      <c r="F32" s="17" t="n">
        <v>-0.08</v>
      </c>
      <c r="G32" s="17" t="n">
        <v>-0.08</v>
      </c>
      <c r="H32" s="17" t="n">
        <v>-0.08</v>
      </c>
      <c r="I32" s="17" t="n">
        <v>-0.08</v>
      </c>
    </row>
    <row r="33" customFormat="false" ht="15" hidden="false" customHeight="true" outlineLevel="0" collapsed="false">
      <c r="A33" s="6" t="s">
        <v>128</v>
      </c>
      <c r="E33" s="17" t="n">
        <v>-0.1</v>
      </c>
      <c r="F33" s="17" t="n">
        <v>-0.1</v>
      </c>
      <c r="G33" s="17" t="n">
        <v>-0.1</v>
      </c>
      <c r="H33" s="17" t="n">
        <v>-0.1</v>
      </c>
      <c r="I33" s="17" t="n">
        <v>-0.1</v>
      </c>
    </row>
    <row r="35" customFormat="false" ht="15" hidden="false" customHeight="true" outlineLevel="0" collapsed="false">
      <c r="A35" s="15" t="s">
        <v>129</v>
      </c>
    </row>
    <row r="36" customFormat="false" ht="15" hidden="false" customHeight="true" outlineLevel="0" collapsed="false">
      <c r="A36" s="6" t="s">
        <v>130</v>
      </c>
      <c r="B36" s="21" t="n">
        <f aca="false">B16</f>
        <v>766333.61</v>
      </c>
      <c r="C36" s="21" t="n">
        <f aca="false">C16</f>
        <v>859665.066</v>
      </c>
      <c r="D36" s="21" t="n">
        <f aca="false">D16</f>
        <v>1146195.156</v>
      </c>
      <c r="E36" s="21" t="n">
        <f aca="false">D36*(1+E23+CHOOSE($B$4,0,E28,E31))</f>
        <v>1358060.30128</v>
      </c>
      <c r="F36" s="21" t="n">
        <f aca="false">E36*(1+F23+CHOOSE($B$4,0,F28,F31))</f>
        <v>1572759.77087853</v>
      </c>
      <c r="G36" s="21" t="n">
        <f aca="false">F36*(1+G23+CHOOSE($B$4,0,G28,G31))</f>
        <v>1773326.6616401</v>
      </c>
      <c r="H36" s="21" t="n">
        <f aca="false">G36*(1+H23+CHOOSE($B$4,0,H28,H31))</f>
        <v>1967917.29364666</v>
      </c>
      <c r="I36" s="21" t="n">
        <f aca="false">H36*(1+I23+CHOOSE($B$4,0,I28,I31))</f>
        <v>2137849.71756168</v>
      </c>
    </row>
    <row r="37" customFormat="false" ht="15" hidden="false" customHeight="true" outlineLevel="0" collapsed="false">
      <c r="A37" s="6" t="s">
        <v>131</v>
      </c>
      <c r="B37" s="21" t="n">
        <f aca="false">B17</f>
        <v>4305.245</v>
      </c>
      <c r="C37" s="21" t="n">
        <f aca="false">C17</f>
        <v>4791.89</v>
      </c>
      <c r="D37" s="21" t="n">
        <f aca="false">D17</f>
        <v>13943.98</v>
      </c>
      <c r="E37" s="21" t="n">
        <f aca="false">D37*(1+E24+CHOOSE($B$4,0,E29,E32))</f>
        <v>33951.507532</v>
      </c>
      <c r="F37" s="21" t="n">
        <f aca="false">E37*(1+F24+CHOOSE($B$4,0,F29,F32))</f>
        <v>60490.760418405</v>
      </c>
      <c r="G37" s="21" t="n">
        <f aca="false">F37*(1+G24+CHOOSE($B$4,0,G29,G32))</f>
        <v>93332.982191584</v>
      </c>
      <c r="H37" s="21" t="n">
        <f aca="false">G37*(1+H24+CHOOSE($B$4,0,H29,H32))</f>
        <v>118075.0376188</v>
      </c>
      <c r="I37" s="21" t="n">
        <f aca="false">H37*(1+I24+CHOOSE($B$4,0,I29,I32))</f>
        <v>144449.305240654</v>
      </c>
    </row>
    <row r="38" customFormat="false" ht="15" hidden="false" customHeight="true" outlineLevel="0" collapsed="false">
      <c r="A38" s="6" t="s">
        <v>132</v>
      </c>
      <c r="B38" s="21" t="n">
        <f aca="false">B18</f>
        <v>4305.245</v>
      </c>
      <c r="C38" s="21" t="n">
        <f aca="false">C18</f>
        <v>4791.89</v>
      </c>
      <c r="D38" s="21" t="n">
        <f aca="false">D18</f>
        <v>13943.98</v>
      </c>
      <c r="E38" s="21" t="n">
        <f aca="false">D38*(1+E25+CHOOSE($B$4,0,E30,E33))</f>
        <v>25463.630649</v>
      </c>
      <c r="F38" s="21" t="n">
        <f aca="false">E38*(1+F25+CHOOSE($B$4,0,F30,F33))</f>
        <v>40327.17361227</v>
      </c>
      <c r="G38" s="21" t="n">
        <f aca="false">F38*(1+G25+CHOOSE($B$4,0,G30,G33))</f>
        <v>69999.736643688</v>
      </c>
      <c r="H38" s="21" t="n">
        <f aca="false">G38*(1+H25+CHOOSE($B$4,0,H30,H33))</f>
        <v>91836.1403701776</v>
      </c>
      <c r="I38" s="21" t="n">
        <f aca="false">H38*(1+I25+CHOOSE($B$4,0,I30,I33))</f>
        <v>115559.444192523</v>
      </c>
    </row>
    <row r="39" customFormat="false" ht="15" hidden="false" customHeight="true" outlineLevel="0" collapsed="false">
      <c r="A39" s="6" t="s">
        <v>133</v>
      </c>
      <c r="B39" s="21" t="n">
        <f aca="false">B19</f>
        <v>86104.9</v>
      </c>
      <c r="C39" s="21" t="n">
        <f aca="false">C19</f>
        <v>89129.154</v>
      </c>
      <c r="D39" s="21" t="n">
        <f aca="false">D19</f>
        <v>220314.884</v>
      </c>
      <c r="E39" s="21" t="n">
        <f aca="false">E19</f>
        <v>280099.937139</v>
      </c>
      <c r="F39" s="21" t="n">
        <f aca="false">F19</f>
        <v>342780.975704295</v>
      </c>
      <c r="G39" s="21" t="n">
        <f aca="false">G19</f>
        <v>396665.174314232</v>
      </c>
      <c r="H39" s="21" t="n">
        <f aca="false">H19</f>
        <v>446061.253226577</v>
      </c>
      <c r="I39" s="21" t="n">
        <f aca="false">I19</f>
        <v>491127.637818225</v>
      </c>
    </row>
    <row r="40" customFormat="false" ht="15" hidden="false" customHeight="true" outlineLevel="0" collapsed="false">
      <c r="A40" s="15" t="s">
        <v>134</v>
      </c>
      <c r="B40" s="35" t="n">
        <f aca="false">SUM(B36:B39)</f>
        <v>861049</v>
      </c>
      <c r="C40" s="35" t="n">
        <f aca="false">SUM(C36:C39)</f>
        <v>958378</v>
      </c>
      <c r="D40" s="35" t="n">
        <f aca="false">SUM(D36:D39)</f>
        <v>1394398</v>
      </c>
      <c r="E40" s="35" t="n">
        <f aca="false">SUM(E36:E39)</f>
        <v>1697575.3766</v>
      </c>
      <c r="F40" s="35" t="n">
        <f aca="false">SUM(F36:F39)</f>
        <v>2016358.6806135</v>
      </c>
      <c r="G40" s="35" t="n">
        <f aca="false">SUM(G36:G39)</f>
        <v>2333324.5547896</v>
      </c>
      <c r="H40" s="35" t="n">
        <f aca="false">SUM(H36:H39)</f>
        <v>2623889.72486222</v>
      </c>
      <c r="I40" s="35" t="n">
        <f aca="false">SUM(I36:I39)</f>
        <v>2888986.10481309</v>
      </c>
    </row>
    <row r="41" customFormat="false" ht="15" hidden="false" customHeight="true" outlineLevel="0" collapsed="false">
      <c r="A41" s="6" t="s">
        <v>135</v>
      </c>
      <c r="C41" s="16" t="n">
        <f aca="false">C40/B40-1</f>
        <v>0.113035378938945</v>
      </c>
      <c r="D41" s="16" t="n">
        <f aca="false">D40/C40-1</f>
        <v>0.454956186389921</v>
      </c>
      <c r="E41" s="16" t="n">
        <f aca="false">E40/D40-1</f>
        <v>0.217425280730466</v>
      </c>
      <c r="F41" s="16" t="n">
        <f aca="false">F40/E40-1</f>
        <v>0.187787422230391</v>
      </c>
      <c r="G41" s="16" t="n">
        <f aca="false">G40/F40-1</f>
        <v>0.15719716795608</v>
      </c>
      <c r="H41" s="16" t="n">
        <f aca="false">H40/G40-1</f>
        <v>0.124528398535976</v>
      </c>
      <c r="I41" s="16" t="n">
        <f aca="false">I40/H40-1</f>
        <v>0.101031829744594</v>
      </c>
    </row>
    <row r="42" customFormat="false" ht="15" hidden="false" customHeight="true" outlineLevel="0" collapsed="false">
      <c r="A42" s="6" t="s">
        <v>136</v>
      </c>
      <c r="B42" s="36" t="n">
        <f aca="false">B40/B20</f>
        <v>1</v>
      </c>
      <c r="C42" s="36" t="n">
        <f aca="false">C40/C20</f>
        <v>1</v>
      </c>
      <c r="D42" s="36" t="n">
        <f aca="false">D40/D20</f>
        <v>1</v>
      </c>
      <c r="E42" s="36" t="n">
        <f aca="false">E40/E20</f>
        <v>1</v>
      </c>
      <c r="F42" s="36" t="n">
        <f aca="false">F40/F20</f>
        <v>1</v>
      </c>
      <c r="G42" s="36" t="n">
        <f aca="false">G40/G20</f>
        <v>1</v>
      </c>
      <c r="H42" s="36" t="n">
        <f aca="false">H40/H20</f>
        <v>1</v>
      </c>
      <c r="I42" s="36" t="n">
        <f aca="false">I40/I20</f>
        <v>1</v>
      </c>
    </row>
    <row r="43" customFormat="false" ht="15" hidden="false" customHeight="true" outlineLevel="0" collapsed="false">
      <c r="A43" s="6" t="s">
        <v>137</v>
      </c>
      <c r="B43" s="21" t="n">
        <f aca="false">B40-B20</f>
        <v>0</v>
      </c>
      <c r="C43" s="21" t="n">
        <f aca="false">C40-C20</f>
        <v>0</v>
      </c>
      <c r="D43" s="21" t="n">
        <f aca="false">D40-D20</f>
        <v>0</v>
      </c>
      <c r="E43" s="21" t="n">
        <f aca="false">E40-E20</f>
        <v>0</v>
      </c>
      <c r="F43" s="21" t="n">
        <f aca="false">F40-F20</f>
        <v>0</v>
      </c>
      <c r="G43" s="21" t="n">
        <f aca="false">G40-G20</f>
        <v>0</v>
      </c>
      <c r="H43" s="21" t="n">
        <f aca="false">H40-H20</f>
        <v>0</v>
      </c>
      <c r="I43" s="21" t="n">
        <f aca="false">I40-I20</f>
        <v>0</v>
      </c>
    </row>
    <row r="45" customFormat="false" ht="15" hidden="false" customHeight="true" outlineLevel="0" collapsed="false">
      <c r="A45" s="15" t="s">
        <v>138</v>
      </c>
    </row>
    <row r="46" customFormat="false" ht="15" hidden="false" customHeight="true" outlineLevel="0" collapsed="false">
      <c r="A46" s="6" t="s">
        <v>139</v>
      </c>
      <c r="B46" s="34" t="n">
        <f aca="false">'Income Statement'!B15</f>
        <v>2122789</v>
      </c>
      <c r="C46" s="34" t="n">
        <f aca="false">'Income Statement'!C15</f>
        <v>2674859</v>
      </c>
      <c r="D46" s="34" t="n">
        <f aca="false">'Income Statement'!D15</f>
        <v>3613354</v>
      </c>
      <c r="E46" s="34" t="n">
        <f aca="false">'Income Statement'!E15</f>
        <v>4722869.3286</v>
      </c>
      <c r="F46" s="34" t="n">
        <f aca="false">'Income Statement'!F15</f>
        <v>5655819.24160575</v>
      </c>
      <c r="G46" s="34" t="n">
        <f aca="false">'Income Statement'!G15</f>
        <v>6663574.52561272</v>
      </c>
      <c r="H46" s="34" t="n">
        <f aca="false">'Income Statement'!H15</f>
        <v>7668410.38565895</v>
      </c>
      <c r="I46" s="34" t="n">
        <f aca="false">'Income Statement'!I15</f>
        <v>8664907.94002968</v>
      </c>
    </row>
    <row r="47" customFormat="false" ht="15" hidden="false" customHeight="true" outlineLevel="0" collapsed="false">
      <c r="A47" s="6" t="s">
        <v>140</v>
      </c>
      <c r="B47" s="34" t="n">
        <f aca="false">'Income Statement'!B29</f>
        <v>-341167</v>
      </c>
      <c r="C47" s="34" t="n">
        <f aca="false">'Income Statement'!C29</f>
        <v>479136</v>
      </c>
      <c r="D47" s="34" t="n">
        <f aca="false">'Income Statement'!D29</f>
        <v>481320</v>
      </c>
      <c r="E47" s="34" t="n">
        <f aca="false">'Income Statement'!E29</f>
        <v>610286.111361</v>
      </c>
      <c r="F47" s="34" t="n">
        <f aca="false">'Income Statement'!F29</f>
        <v>858576.057912906</v>
      </c>
      <c r="G47" s="34" t="n">
        <f aca="false">'Income Statement'!G29</f>
        <v>1135527.98069924</v>
      </c>
      <c r="H47" s="34" t="n">
        <f aca="false">'Income Statement'!H29</f>
        <v>1421817.40240127</v>
      </c>
      <c r="I47" s="34" t="n">
        <f aca="false">'Income Statement'!I29</f>
        <v>1767021.56565866</v>
      </c>
    </row>
    <row r="48" customFormat="false" ht="15" hidden="false" customHeight="true" outlineLevel="0" collapsed="false">
      <c r="A48" s="6" t="s">
        <v>141</v>
      </c>
      <c r="B48" s="37" t="n">
        <f aca="false">'Income Statement'!B32</f>
        <v>-0.36</v>
      </c>
      <c r="C48" s="37" t="n">
        <f aca="false">'Income Statement'!C32</f>
        <v>0.39</v>
      </c>
      <c r="D48" s="37" t="n">
        <f aca="false">'Income Statement'!D32</f>
        <v>0.39</v>
      </c>
      <c r="E48" s="37" t="n">
        <f aca="false">'Income Statement'!E32</f>
        <v>0.477980100945774</v>
      </c>
      <c r="F48" s="37" t="n">
        <f aca="false">'Income Statement'!F32</f>
        <v>0.659257276461404</v>
      </c>
      <c r="G48" s="37" t="n">
        <f aca="false">'Income Statement'!G32</f>
        <v>0.854818330980127</v>
      </c>
      <c r="H48" s="37" t="n">
        <f aca="false">'Income Statement'!H32</f>
        <v>1.04934824440436</v>
      </c>
      <c r="I48" s="37" t="n">
        <f aca="false">'Income Statement'!I32</f>
        <v>1.27854934157151</v>
      </c>
    </row>
    <row r="49" customFormat="false" ht="15" hidden="false" customHeight="true" outlineLevel="0" collapsed="false">
      <c r="A49" s="6" t="s">
        <v>142</v>
      </c>
      <c r="B49" s="34" t="n">
        <f aca="false">'Balance Sheet'!B5</f>
        <v>3085020</v>
      </c>
      <c r="C49" s="34" t="n">
        <f aca="false">'Balance Sheet'!C5</f>
        <v>2538293</v>
      </c>
      <c r="D49" s="34" t="n">
        <f aca="false">'Balance Sheet'!D5</f>
        <v>4929452</v>
      </c>
      <c r="E49" s="34" t="n">
        <f aca="false">'Balance Sheet'!E5</f>
        <v>6153664.2535944</v>
      </c>
      <c r="F49" s="34" t="n">
        <f aca="false">'Balance Sheet'!F5</f>
        <v>8087990.28194083</v>
      </c>
      <c r="G49" s="34" t="n">
        <f aca="false">'Balance Sheet'!G5</f>
        <v>10703155.5207686</v>
      </c>
      <c r="H49" s="34" t="n">
        <f aca="false">'Balance Sheet'!H5</f>
        <v>13574308.3691029</v>
      </c>
      <c r="I49" s="34" t="n">
        <f aca="false">'Balance Sheet'!I5</f>
        <v>17142322.0446077</v>
      </c>
    </row>
    <row r="50" customFormat="false" ht="15" hidden="false" customHeight="true" outlineLevel="0" collapsed="false">
      <c r="A50" s="6" t="s">
        <v>143</v>
      </c>
      <c r="B50" s="38" t="n">
        <f aca="false">(I40/D40)^0.2-1</f>
        <v>0.156835854127782</v>
      </c>
    </row>
    <row r="52" customFormat="false" ht="15" hidden="false" customHeight="true" outlineLevel="0" collapsed="false">
      <c r="A52" s="15" t="s">
        <v>144</v>
      </c>
    </row>
    <row r="53" customFormat="false" ht="15" hidden="false" customHeight="true" outlineLevel="0" collapsed="false">
      <c r="A53" s="6" t="s">
        <v>145</v>
      </c>
      <c r="E53" s="17" t="n">
        <v>0.22</v>
      </c>
      <c r="F53" s="17" t="n">
        <v>0.19</v>
      </c>
      <c r="G53" s="17" t="n">
        <v>0.16</v>
      </c>
      <c r="H53" s="17" t="n">
        <v>0.14</v>
      </c>
      <c r="I53" s="17" t="n">
        <v>0.12</v>
      </c>
    </row>
    <row r="54" customFormat="false" ht="15" hidden="false" customHeight="true" outlineLevel="0" collapsed="false">
      <c r="A54" s="15" t="s">
        <v>146</v>
      </c>
      <c r="B54" s="39" t="n">
        <v>7.5</v>
      </c>
      <c r="C54" s="39" t="n">
        <v>10.1</v>
      </c>
      <c r="D54" s="39" t="n">
        <v>13.7</v>
      </c>
      <c r="E54" s="40" t="n">
        <f aca="false">D54*(1+E53)</f>
        <v>16.714</v>
      </c>
      <c r="F54" s="40" t="n">
        <f aca="false">E54*(1+F53)</f>
        <v>19.88966</v>
      </c>
      <c r="G54" s="40" t="n">
        <f aca="false">F54*(1+G53)</f>
        <v>23.0720056</v>
      </c>
      <c r="H54" s="40" t="n">
        <f aca="false">G54*(1+H53)</f>
        <v>26.302086384</v>
      </c>
      <c r="I54" s="40" t="n">
        <f aca="false">H54*(1+I53)</f>
        <v>29.45833675008</v>
      </c>
    </row>
    <row r="55" customFormat="false" ht="15" hidden="false" customHeight="true" outlineLevel="0" collapsed="false">
      <c r="A55" s="6" t="s">
        <v>147</v>
      </c>
      <c r="B55" s="19" t="n">
        <v>0.995</v>
      </c>
      <c r="C55" s="19" t="n">
        <v>0.995</v>
      </c>
      <c r="D55" s="19" t="n">
        <v>0.995</v>
      </c>
      <c r="E55" s="19" t="n">
        <v>0.993</v>
      </c>
      <c r="F55" s="19" t="n">
        <v>0.991</v>
      </c>
      <c r="G55" s="19" t="n">
        <v>0.989</v>
      </c>
      <c r="H55" s="19" t="n">
        <v>0.987</v>
      </c>
      <c r="I55" s="19" t="n">
        <v>0.985</v>
      </c>
    </row>
    <row r="56" customFormat="false" ht="15" hidden="false" customHeight="true" outlineLevel="0" collapsed="false">
      <c r="A56" s="6" t="s">
        <v>148</v>
      </c>
      <c r="B56" s="19" t="n">
        <v>0.002</v>
      </c>
      <c r="C56" s="19" t="n">
        <v>0.002</v>
      </c>
      <c r="D56" s="19" t="n">
        <v>0.002</v>
      </c>
      <c r="E56" s="19" t="n">
        <v>0.003</v>
      </c>
      <c r="F56" s="19" t="n">
        <v>0.004</v>
      </c>
      <c r="G56" s="19" t="n">
        <v>0.005</v>
      </c>
      <c r="H56" s="19" t="n">
        <v>0.006</v>
      </c>
      <c r="I56" s="19" t="n">
        <v>0.007</v>
      </c>
    </row>
    <row r="57" customFormat="false" ht="15" hidden="false" customHeight="true" outlineLevel="0" collapsed="false">
      <c r="A57" s="6" t="s">
        <v>149</v>
      </c>
      <c r="B57" s="19" t="n">
        <v>0.001</v>
      </c>
      <c r="C57" s="19" t="n">
        <v>0.001</v>
      </c>
      <c r="D57" s="19" t="n">
        <v>0.001</v>
      </c>
      <c r="E57" s="19" t="n">
        <v>0.002</v>
      </c>
      <c r="F57" s="19" t="n">
        <v>0.003</v>
      </c>
      <c r="G57" s="19" t="n">
        <v>0.004</v>
      </c>
      <c r="H57" s="19" t="n">
        <v>0.005</v>
      </c>
      <c r="I57" s="19" t="n">
        <v>0.006</v>
      </c>
    </row>
    <row r="58" customFormat="false" ht="15" hidden="false" customHeight="true" outlineLevel="0" collapsed="false">
      <c r="A58" s="6" t="s">
        <v>150</v>
      </c>
      <c r="B58" s="16" t="n">
        <f aca="false">1-B55-B56-B57</f>
        <v>0.002</v>
      </c>
      <c r="C58" s="16" t="n">
        <f aca="false">1-C55-C56-C57</f>
        <v>0.002</v>
      </c>
      <c r="D58" s="16" t="n">
        <f aca="false">1-D55-D56-D57</f>
        <v>0.002</v>
      </c>
      <c r="E58" s="16" t="n">
        <f aca="false">1-E55-E56-E57</f>
        <v>0.00200000000000001</v>
      </c>
      <c r="F58" s="16" t="n">
        <f aca="false">1-F55-F56-F57</f>
        <v>0.00200000000000001</v>
      </c>
      <c r="G58" s="16" t="n">
        <f aca="false">1-G55-G56-G57</f>
        <v>0.00200000000000001</v>
      </c>
      <c r="H58" s="16" t="n">
        <f aca="false">1-H55-H56-H57</f>
        <v>0.00200000000000001</v>
      </c>
      <c r="I58" s="16" t="n">
        <f aca="false">1-I55-I56-I57</f>
        <v>0.00200000000000001</v>
      </c>
    </row>
    <row r="59" customFormat="false" ht="15" hidden="false" customHeight="true" outlineLevel="0" collapsed="false">
      <c r="A59" s="6" t="s">
        <v>151</v>
      </c>
      <c r="B59" s="24" t="n">
        <f aca="false">B54*B55</f>
        <v>7.4625</v>
      </c>
      <c r="C59" s="24" t="n">
        <f aca="false">C54*C55</f>
        <v>10.0495</v>
      </c>
      <c r="D59" s="24" t="n">
        <f aca="false">D54*D55</f>
        <v>13.6315</v>
      </c>
      <c r="E59" s="24" t="n">
        <f aca="false">E54*E55</f>
        <v>16.597002</v>
      </c>
      <c r="F59" s="24" t="n">
        <f aca="false">F54*F55</f>
        <v>19.71065306</v>
      </c>
      <c r="G59" s="24" t="n">
        <f aca="false">G54*G55</f>
        <v>22.8182135384</v>
      </c>
      <c r="H59" s="24" t="n">
        <f aca="false">H54*H55</f>
        <v>25.960159261008</v>
      </c>
      <c r="I59" s="24" t="n">
        <f aca="false">I54*I55</f>
        <v>29.0164616988288</v>
      </c>
    </row>
    <row r="60" customFormat="false" ht="15" hidden="false" customHeight="true" outlineLevel="0" collapsed="false">
      <c r="A60" s="6" t="s">
        <v>152</v>
      </c>
      <c r="B60" s="24" t="n">
        <f aca="false">B54*B56</f>
        <v>0.015</v>
      </c>
      <c r="C60" s="24" t="n">
        <f aca="false">C54*C56</f>
        <v>0.0202</v>
      </c>
      <c r="D60" s="24" t="n">
        <f aca="false">D54*D56</f>
        <v>0.0274</v>
      </c>
      <c r="E60" s="24" t="n">
        <f aca="false">E54*E56</f>
        <v>0.050142</v>
      </c>
      <c r="F60" s="24" t="n">
        <f aca="false">F54*F56</f>
        <v>0.07955864</v>
      </c>
      <c r="G60" s="24" t="n">
        <f aca="false">G54*G56</f>
        <v>0.115360028</v>
      </c>
      <c r="H60" s="24" t="n">
        <f aca="false">H54*H56</f>
        <v>0.157812518304</v>
      </c>
      <c r="I60" s="24" t="n">
        <f aca="false">I54*I56</f>
        <v>0.20620835725056</v>
      </c>
    </row>
    <row r="61" customFormat="false" ht="15" hidden="false" customHeight="true" outlineLevel="0" collapsed="false">
      <c r="A61" s="6" t="s">
        <v>153</v>
      </c>
      <c r="B61" s="24" t="n">
        <f aca="false">B54*B57</f>
        <v>0.0075</v>
      </c>
      <c r="C61" s="24" t="n">
        <f aca="false">C54*C57</f>
        <v>0.0101</v>
      </c>
      <c r="D61" s="24" t="n">
        <f aca="false">D54*D57</f>
        <v>0.0137</v>
      </c>
      <c r="E61" s="24" t="n">
        <f aca="false">E54*E57</f>
        <v>0.033428</v>
      </c>
      <c r="F61" s="24" t="n">
        <f aca="false">F54*F57</f>
        <v>0.05966898</v>
      </c>
      <c r="G61" s="24" t="n">
        <f aca="false">G54*G57</f>
        <v>0.0922880224</v>
      </c>
      <c r="H61" s="24" t="n">
        <f aca="false">H54*H57</f>
        <v>0.13151043192</v>
      </c>
      <c r="I61" s="24" t="n">
        <f aca="false">I54*I57</f>
        <v>0.17675002050048</v>
      </c>
    </row>
    <row r="62" customFormat="false" ht="15" hidden="false" customHeight="true" outlineLevel="0" collapsed="false">
      <c r="A62" s="6" t="s">
        <v>154</v>
      </c>
      <c r="B62" s="24" t="n">
        <f aca="false">B54*B58</f>
        <v>0.015</v>
      </c>
      <c r="C62" s="24" t="n">
        <f aca="false">C54*C58</f>
        <v>0.0202</v>
      </c>
      <c r="D62" s="24" t="n">
        <f aca="false">D54*D58</f>
        <v>0.0274000000000001</v>
      </c>
      <c r="E62" s="24" t="n">
        <f aca="false">E54*E58</f>
        <v>0.0334280000000001</v>
      </c>
      <c r="F62" s="24" t="n">
        <f aca="false">F54*F58</f>
        <v>0.0397793200000002</v>
      </c>
      <c r="G62" s="24" t="n">
        <f aca="false">G54*G58</f>
        <v>0.0461440112000002</v>
      </c>
      <c r="H62" s="24" t="n">
        <f aca="false">H54*H58</f>
        <v>0.0526041727680003</v>
      </c>
      <c r="I62" s="24" t="n">
        <f aca="false">I54*I58</f>
        <v>0.0589166735001604</v>
      </c>
    </row>
    <row r="64" customFormat="false" ht="15" hidden="false" customHeight="true" outlineLevel="0" collapsed="false">
      <c r="A64" s="20" t="s">
        <v>155</v>
      </c>
      <c r="B64" s="31" t="n">
        <f aca="false">B20-B15</f>
        <v>0</v>
      </c>
      <c r="C64" s="31" t="n">
        <f aca="false">C20-C15</f>
        <v>0</v>
      </c>
      <c r="D64" s="31" t="n">
        <f aca="false">D20-D15</f>
        <v>0</v>
      </c>
      <c r="E64" s="31" t="n">
        <f aca="false">E20-E15</f>
        <v>0</v>
      </c>
      <c r="F64" s="31" t="n">
        <f aca="false">F20-F15</f>
        <v>0</v>
      </c>
      <c r="G64" s="31" t="n">
        <f aca="false">G20-G15</f>
        <v>0</v>
      </c>
      <c r="H64" s="31" t="n">
        <f aca="false">H20-H15</f>
        <v>0</v>
      </c>
      <c r="I64" s="31" t="n">
        <f aca="false">I20-I15</f>
        <v>0</v>
      </c>
    </row>
    <row r="65" customFormat="false" ht="15" hidden="false" customHeight="true" outlineLevel="0" collapsed="false">
      <c r="A65" s="20" t="s">
        <v>156</v>
      </c>
      <c r="B65" s="31" t="n">
        <f aca="false">B40-'Income Statement'!B14</f>
        <v>0</v>
      </c>
      <c r="C65" s="31" t="n">
        <f aca="false">C40-'Income Statement'!C14</f>
        <v>0</v>
      </c>
      <c r="D65" s="31" t="n">
        <f aca="false">D40-'Income Statement'!D14</f>
        <v>0</v>
      </c>
      <c r="E65" s="31" t="n">
        <f aca="false">E40-'Income Statement'!E14</f>
        <v>0</v>
      </c>
      <c r="F65" s="31" t="n">
        <f aca="false">F40-'Income Statement'!F14</f>
        <v>0</v>
      </c>
      <c r="G65" s="31" t="n">
        <f aca="false">G40-'Income Statement'!G14</f>
        <v>0</v>
      </c>
      <c r="H65" s="31" t="n">
        <f aca="false">H40-'Income Statement'!H14</f>
        <v>0</v>
      </c>
      <c r="I65" s="31" t="n">
        <f aca="false">I40-'Income Statement'!I14</f>
        <v>0</v>
      </c>
    </row>
    <row r="67" customFormat="false" ht="15" hidden="false" customHeight="true" outlineLevel="0" collapsed="false">
      <c r="A67" s="20" t="s">
        <v>157</v>
      </c>
    </row>
    <row r="68" customFormat="false" ht="15" hidden="false" customHeight="true" outlineLevel="0" collapsed="false">
      <c r="A68" s="20" t="s">
        <v>158</v>
      </c>
    </row>
    <row r="69" customFormat="false" ht="15" hidden="false" customHeight="true" outlineLevel="0" collapsed="false">
      <c r="A69" s="20" t="s">
        <v>159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9" min="2" style="1" width="13.5"/>
    <col collapsed="false" customWidth="true" hidden="false" outlineLevel="0" max="10" min="10" style="1" width="2"/>
    <col collapsed="false" customWidth="true" hidden="false" outlineLevel="0" max="11" min="11" style="1" width="60"/>
  </cols>
  <sheetData>
    <row r="1" customFormat="false" ht="15" hidden="false" customHeight="true" outlineLevel="0" collapsed="false">
      <c r="A1" s="12" t="s">
        <v>160</v>
      </c>
    </row>
    <row r="2" customFormat="false" ht="15" hidden="false" customHeight="true" outlineLevel="0" collapsed="false">
      <c r="A2" s="11" t="s">
        <v>25</v>
      </c>
    </row>
    <row r="3" customFormat="false" ht="15" hidden="false" customHeight="true" outlineLevel="0" collapsed="false">
      <c r="A3" s="13"/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4" t="s">
        <v>32</v>
      </c>
      <c r="I3" s="14" t="s">
        <v>33</v>
      </c>
    </row>
    <row r="4" customFormat="false" ht="15" hidden="false" customHeight="true" outlineLevel="0" collapsed="false">
      <c r="A4" s="15" t="s">
        <v>161</v>
      </c>
    </row>
    <row r="5" customFormat="false" ht="15" hidden="false" customHeight="true" outlineLevel="0" collapsed="false">
      <c r="A5" s="6" t="s">
        <v>162</v>
      </c>
      <c r="B5" s="22" t="n">
        <v>2051067</v>
      </c>
      <c r="C5" s="22" t="n">
        <v>2807817</v>
      </c>
      <c r="D5" s="22" t="n">
        <v>3375199</v>
      </c>
      <c r="E5" s="21" t="n">
        <f aca="false">('Balance Sheet'!D7+'Balance Sheet'!D8+'Balance Sheet'!D9+'Balance Sheet'!D10+'Balance Sheet'!D5)*Assumptions!E13</f>
        <v>4554212.2</v>
      </c>
      <c r="F5" s="21" t="n">
        <f aca="false">('Balance Sheet'!E7+'Balance Sheet'!E8+'Balance Sheet'!E9+'Balance Sheet'!E10+'Balance Sheet'!E5)*Assumptions!F13</f>
        <v>5522601.02499225</v>
      </c>
      <c r="G5" s="21" t="n">
        <f aca="false">('Balance Sheet'!F7+'Balance Sheet'!F8+'Balance Sheet'!F9+'Balance Sheet'!F10+'Balance Sheet'!F5)*Assumptions!G13</f>
        <v>6585093.68186312</v>
      </c>
      <c r="H5" s="21" t="n">
        <f aca="false">('Balance Sheet'!G7+'Balance Sheet'!G8+'Balance Sheet'!G9+'Balance Sheet'!G10+'Balance Sheet'!G5)*Assumptions!H13</f>
        <v>7662079.30374073</v>
      </c>
      <c r="I5" s="21" t="n">
        <f aca="false">('Balance Sheet'!H7+'Balance Sheet'!H8+'Balance Sheet'!H9+'Balance Sheet'!H10+'Balance Sheet'!H5)*Assumptions!I13</f>
        <v>8740966.69756539</v>
      </c>
      <c r="K5" s="18" t="s">
        <v>163</v>
      </c>
    </row>
    <row r="6" customFormat="false" ht="15" hidden="false" customHeight="true" outlineLevel="0" collapsed="false">
      <c r="A6" s="6" t="s">
        <v>164</v>
      </c>
      <c r="B6" s="22" t="n">
        <v>789327</v>
      </c>
      <c r="C6" s="22" t="n">
        <v>1091336</v>
      </c>
      <c r="D6" s="22" t="n">
        <v>1156243</v>
      </c>
      <c r="E6" s="21" t="n">
        <f aca="false">('Balance Sheet'!D20+'Balance Sheet'!D25+'Balance Sheet'!D26)*Assumptions!E14</f>
        <v>1528918.248</v>
      </c>
      <c r="F6" s="21" t="n">
        <f aca="false">('Balance Sheet'!E20+'Balance Sheet'!E25+'Balance Sheet'!E26)*Assumptions!F14</f>
        <v>1883140.464</v>
      </c>
      <c r="G6" s="21" t="n">
        <f aca="false">('Balance Sheet'!F20+'Balance Sheet'!F25+'Balance Sheet'!F26)*Assumptions!G14</f>
        <v>2254843.71104</v>
      </c>
      <c r="H6" s="21" t="n">
        <f aca="false">('Balance Sheet'!G20+'Balance Sheet'!G25+'Balance Sheet'!G26)*Assumptions!H14</f>
        <v>2617558.642944</v>
      </c>
      <c r="I6" s="21" t="n">
        <f aca="false">('Balance Sheet'!H20+'Balance Sheet'!H25+'Balance Sheet'!H26)*Assumptions!I14</f>
        <v>2965044.8623488</v>
      </c>
    </row>
    <row r="7" customFormat="false" ht="15" hidden="false" customHeight="true" outlineLevel="0" collapsed="false">
      <c r="A7" s="15" t="s">
        <v>165</v>
      </c>
      <c r="B7" s="28" t="n">
        <f aca="false">B5-B6</f>
        <v>1261740</v>
      </c>
      <c r="C7" s="28" t="n">
        <f aca="false">C5-C6</f>
        <v>1716481</v>
      </c>
      <c r="D7" s="28" t="n">
        <f aca="false">D5-D6</f>
        <v>2218956</v>
      </c>
      <c r="E7" s="28" t="n">
        <f aca="false">E5-E6</f>
        <v>3025293.952</v>
      </c>
      <c r="F7" s="28" t="n">
        <f aca="false">F5-F6</f>
        <v>3639460.56099225</v>
      </c>
      <c r="G7" s="28" t="n">
        <f aca="false">G5-G6</f>
        <v>4330249.97082312</v>
      </c>
      <c r="H7" s="28" t="n">
        <f aca="false">H5-H6</f>
        <v>5044520.66079673</v>
      </c>
      <c r="I7" s="28" t="n">
        <f aca="false">I5-I6</f>
        <v>5775921.83521659</v>
      </c>
    </row>
    <row r="9" customFormat="false" ht="15" hidden="false" customHeight="true" outlineLevel="0" collapsed="false">
      <c r="A9" s="15" t="s">
        <v>166</v>
      </c>
    </row>
    <row r="10" customFormat="false" ht="15" hidden="false" customHeight="true" outlineLevel="0" collapsed="false">
      <c r="A10" s="6" t="s">
        <v>167</v>
      </c>
      <c r="B10" s="22" t="n">
        <v>409140</v>
      </c>
      <c r="C10" s="22" t="n">
        <v>278114</v>
      </c>
      <c r="D10" s="22" t="n">
        <v>242947</v>
      </c>
      <c r="E10" s="34" t="n">
        <f aca="false">'Revenue Drivers'!E18*'Regional Breakdown'!E42</f>
        <v>259459.4366</v>
      </c>
      <c r="F10" s="34" t="n">
        <f aca="false">'Revenue Drivers'!F18*'Regional Breakdown'!F42</f>
        <v>293062.8990135</v>
      </c>
      <c r="G10" s="34" t="n">
        <f aca="false">'Revenue Drivers'!G18*'Regional Breakdown'!G42</f>
        <v>323854.3870296</v>
      </c>
      <c r="H10" s="34" t="n">
        <f aca="false">'Revenue Drivers'!H18*'Regional Breakdown'!H42</f>
        <v>350650.149926218</v>
      </c>
      <c r="I10" s="34" t="n">
        <f aca="false">'Revenue Drivers'!I18*'Regional Breakdown'!I42</f>
        <v>374601.646495486</v>
      </c>
    </row>
    <row r="11" customFormat="false" ht="15" hidden="false" customHeight="true" outlineLevel="0" collapsed="false">
      <c r="A11" s="6" t="s">
        <v>168</v>
      </c>
      <c r="B11" s="22" t="n">
        <v>323972</v>
      </c>
      <c r="C11" s="22" t="n">
        <v>350810</v>
      </c>
      <c r="D11" s="22" t="n">
        <v>360903</v>
      </c>
      <c r="E11" s="34" t="n">
        <f aca="false">'Regional Breakdown'!E13*'Regional Breakdown'!E42</f>
        <v>389775.24</v>
      </c>
      <c r="F11" s="34" t="n">
        <f aca="false">'Regional Breakdown'!F13*'Regional Breakdown'!F42</f>
        <v>424855.0116</v>
      </c>
      <c r="G11" s="34" t="n">
        <f aca="false">'Regional Breakdown'!G13*'Regional Breakdown'!G42</f>
        <v>467340.51276</v>
      </c>
      <c r="H11" s="34" t="n">
        <f aca="false">'Regional Breakdown'!H13*'Regional Breakdown'!H42</f>
        <v>514074.564036</v>
      </c>
      <c r="I11" s="34" t="n">
        <f aca="false">'Regional Breakdown'!I13*'Regional Breakdown'!I42</f>
        <v>565482.0204396</v>
      </c>
    </row>
    <row r="12" customFormat="false" ht="15" hidden="false" customHeight="true" outlineLevel="0" collapsed="false">
      <c r="A12" s="6" t="s">
        <v>169</v>
      </c>
      <c r="B12" s="22" t="n">
        <v>33602</v>
      </c>
      <c r="C12" s="22" t="n">
        <v>141608</v>
      </c>
      <c r="D12" s="22" t="n">
        <v>575911</v>
      </c>
      <c r="E12" s="34" t="n">
        <f aca="false">'Revenue Drivers'!E20*'Regional Breakdown'!E42</f>
        <v>812240</v>
      </c>
      <c r="F12" s="34" t="n">
        <f aca="false">'Revenue Drivers'!F20*'Regional Breakdown'!F42</f>
        <v>1038730</v>
      </c>
      <c r="G12" s="34" t="n">
        <f aca="false">'Revenue Drivers'!G20*'Regional Breakdown'!G42</f>
        <v>1256447.808</v>
      </c>
      <c r="H12" s="34" t="n">
        <f aca="false">'Revenue Drivers'!H20*'Regional Breakdown'!H42</f>
        <v>1444914.9792</v>
      </c>
      <c r="I12" s="34" t="n">
        <f aca="false">'Revenue Drivers'!I20*'Regional Breakdown'!I42</f>
        <v>1603227.403008</v>
      </c>
    </row>
    <row r="13" customFormat="false" ht="15" hidden="false" customHeight="true" outlineLevel="0" collapsed="false">
      <c r="A13" s="6" t="s">
        <v>170</v>
      </c>
      <c r="B13" s="22" t="n">
        <v>94335</v>
      </c>
      <c r="C13" s="22" t="n">
        <v>187846</v>
      </c>
      <c r="D13" s="22" t="n">
        <v>214637</v>
      </c>
      <c r="E13" s="34" t="n">
        <f aca="false">'Regional Breakdown'!E14*'Regional Breakdown'!E42</f>
        <v>236100.7</v>
      </c>
      <c r="F13" s="34" t="n">
        <f aca="false">'Regional Breakdown'!F14*'Regional Breakdown'!F42</f>
        <v>259710.77</v>
      </c>
      <c r="G13" s="34" t="n">
        <f aca="false">'Regional Breakdown'!G14*'Regional Breakdown'!G42</f>
        <v>285681.847</v>
      </c>
      <c r="H13" s="34" t="n">
        <f aca="false">'Regional Breakdown'!H14*'Regional Breakdown'!H42</f>
        <v>314250.0317</v>
      </c>
      <c r="I13" s="34" t="n">
        <f aca="false">'Regional Breakdown'!I14*'Regional Breakdown'!I42</f>
        <v>345675.03487</v>
      </c>
    </row>
    <row r="14" customFormat="false" ht="15" hidden="false" customHeight="true" outlineLevel="0" collapsed="false">
      <c r="A14" s="15" t="s">
        <v>171</v>
      </c>
      <c r="B14" s="28" t="n">
        <f aca="false">SUM(B10:B13)</f>
        <v>861049</v>
      </c>
      <c r="C14" s="28" t="n">
        <f aca="false">SUM(C10:C13)</f>
        <v>958378</v>
      </c>
      <c r="D14" s="28" t="n">
        <f aca="false">SUM(D10:D13)</f>
        <v>1394398</v>
      </c>
      <c r="E14" s="28" t="n">
        <f aca="false">SUM(E10:E13)</f>
        <v>1697575.3766</v>
      </c>
      <c r="F14" s="28" t="n">
        <f aca="false">SUM(F10:F13)</f>
        <v>2016358.6806135</v>
      </c>
      <c r="G14" s="28" t="n">
        <f aca="false">SUM(G10:G13)</f>
        <v>2333324.5547896</v>
      </c>
      <c r="H14" s="28" t="n">
        <f aca="false">SUM(H10:H13)</f>
        <v>2623889.72486222</v>
      </c>
      <c r="I14" s="28" t="n">
        <f aca="false">SUM(I10:I13)</f>
        <v>2888986.10481309</v>
      </c>
    </row>
    <row r="15" customFormat="false" ht="15" hidden="false" customHeight="true" outlineLevel="0" collapsed="false">
      <c r="A15" s="15" t="s">
        <v>172</v>
      </c>
      <c r="B15" s="33" t="n">
        <f aca="false">B7+B14</f>
        <v>2122789</v>
      </c>
      <c r="C15" s="33" t="n">
        <f aca="false">C7+C14</f>
        <v>2674859</v>
      </c>
      <c r="D15" s="33" t="n">
        <f aca="false">D7+D14</f>
        <v>3613354</v>
      </c>
      <c r="E15" s="33" t="n">
        <f aca="false">E7+E14</f>
        <v>4722869.3286</v>
      </c>
      <c r="F15" s="33" t="n">
        <f aca="false">F7+F14</f>
        <v>5655819.24160575</v>
      </c>
      <c r="G15" s="33" t="n">
        <f aca="false">G7+G14</f>
        <v>6663574.52561272</v>
      </c>
      <c r="H15" s="33" t="n">
        <f aca="false">H7+H14</f>
        <v>7668410.38565895</v>
      </c>
      <c r="I15" s="33" t="n">
        <f aca="false">I7+I14</f>
        <v>8664907.94002968</v>
      </c>
    </row>
    <row r="17" customFormat="false" ht="15" hidden="false" customHeight="true" outlineLevel="0" collapsed="false">
      <c r="A17" s="6" t="s">
        <v>173</v>
      </c>
      <c r="B17" s="22" t="n">
        <v>54945</v>
      </c>
      <c r="C17" s="22" t="n">
        <v>31712</v>
      </c>
      <c r="D17" s="22" t="n">
        <v>30319</v>
      </c>
      <c r="E17" s="34" t="n">
        <f aca="false">'Revenue Drivers'!E26</f>
        <v>36401.664</v>
      </c>
      <c r="F17" s="34" t="n">
        <f aca="false">'Revenue Drivers'!F26</f>
        <v>42953.96352</v>
      </c>
      <c r="G17" s="34" t="n">
        <f aca="false">'Revenue Drivers'!G26</f>
        <v>51902.70592</v>
      </c>
      <c r="H17" s="34" t="n">
        <f aca="false">'Revenue Drivers'!H26</f>
        <v>59688.111808</v>
      </c>
      <c r="I17" s="34" t="n">
        <f aca="false">'Revenue Drivers'!I26</f>
        <v>70145.4689967616</v>
      </c>
    </row>
    <row r="18" customFormat="false" ht="15" hidden="false" customHeight="true" outlineLevel="0" collapsed="false">
      <c r="A18" s="15" t="s">
        <v>174</v>
      </c>
    </row>
    <row r="19" customFormat="false" ht="15" hidden="false" customHeight="true" outlineLevel="0" collapsed="false">
      <c r="A19" s="6" t="s">
        <v>175</v>
      </c>
      <c r="B19" s="22" t="n">
        <v>511419</v>
      </c>
      <c r="C19" s="22" t="n">
        <v>551787</v>
      </c>
      <c r="D19" s="22" t="n">
        <v>648332</v>
      </c>
      <c r="E19" s="21" t="n">
        <f aca="false">E15*Assumptions!E20</f>
        <v>826502.132505</v>
      </c>
      <c r="F19" s="21" t="n">
        <f aca="false">F15*Assumptions!F20</f>
        <v>961489.271072978</v>
      </c>
      <c r="G19" s="21" t="n">
        <f aca="false">G15*Assumptions!G20</f>
        <v>1099489.7967261</v>
      </c>
      <c r="H19" s="21" t="n">
        <f aca="false">H15*Assumptions!H20</f>
        <v>1226945.66170543</v>
      </c>
      <c r="I19" s="21" t="n">
        <f aca="false">I15*Assumptions!I20</f>
        <v>1343060.7307046</v>
      </c>
    </row>
    <row r="20" customFormat="false" ht="15" hidden="false" customHeight="true" outlineLevel="0" collapsed="false">
      <c r="A20" s="6" t="s">
        <v>176</v>
      </c>
      <c r="B20" s="22" t="n">
        <v>719400</v>
      </c>
      <c r="C20" s="22" t="n">
        <v>796293</v>
      </c>
      <c r="D20" s="22" t="n">
        <v>1095412</v>
      </c>
      <c r="E20" s="21" t="n">
        <f aca="false">E15*Assumptions!E21</f>
        <v>1393246.451937</v>
      </c>
      <c r="F20" s="21" t="n">
        <f aca="false">F15*Assumptions!F21</f>
        <v>1611908.48385764</v>
      </c>
      <c r="G20" s="21" t="n">
        <f aca="false">G15*Assumptions!G21</f>
        <v>1832482.9945435</v>
      </c>
      <c r="H20" s="21" t="n">
        <f aca="false">H15*Assumptions!H21</f>
        <v>2070470.80412792</v>
      </c>
      <c r="I20" s="21" t="n">
        <f aca="false">I15*Assumptions!I21</f>
        <v>2252876.06440772</v>
      </c>
    </row>
    <row r="21" customFormat="false" ht="15" hidden="false" customHeight="true" outlineLevel="0" collapsed="false">
      <c r="A21" s="6" t="s">
        <v>177</v>
      </c>
      <c r="B21" s="22" t="n">
        <v>379998</v>
      </c>
      <c r="C21" s="22" t="n">
        <v>461633</v>
      </c>
      <c r="D21" s="22" t="n">
        <v>608998</v>
      </c>
      <c r="E21" s="21" t="n">
        <f aca="false">E15*Assumptions!E22</f>
        <v>779273.439219</v>
      </c>
      <c r="F21" s="21" t="n">
        <f aca="false">F15*Assumptions!F22</f>
        <v>904931.07865692</v>
      </c>
      <c r="G21" s="21" t="n">
        <f aca="false">G15*Assumptions!G22</f>
        <v>1032854.05146997</v>
      </c>
      <c r="H21" s="21" t="n">
        <f aca="false">H15*Assumptions!H22</f>
        <v>1150261.55784884</v>
      </c>
      <c r="I21" s="21" t="n">
        <f aca="false">I15*Assumptions!I22</f>
        <v>1256411.6513043</v>
      </c>
    </row>
    <row r="22" customFormat="false" ht="15" hidden="false" customHeight="true" outlineLevel="0" collapsed="false">
      <c r="A22" s="6" t="s">
        <v>178</v>
      </c>
      <c r="B22" s="22" t="n">
        <v>511011</v>
      </c>
      <c r="C22" s="22" t="n">
        <v>600089</v>
      </c>
      <c r="D22" s="22" t="n">
        <v>704436</v>
      </c>
      <c r="E22" s="21" t="n">
        <f aca="false">E15*Assumptions!E23</f>
        <v>873730.825791</v>
      </c>
      <c r="F22" s="21" t="n">
        <f aca="false">F15*Assumptions!F23</f>
        <v>989768.367281006</v>
      </c>
      <c r="G22" s="21" t="n">
        <f aca="false">G15*Assumptions!G23</f>
        <v>1132807.66935416</v>
      </c>
      <c r="H22" s="21" t="n">
        <f aca="false">H15*Assumptions!H23</f>
        <v>1265287.71363373</v>
      </c>
      <c r="I22" s="21" t="n">
        <f aca="false">I15*Assumptions!I23</f>
        <v>1386385.27040475</v>
      </c>
    </row>
    <row r="23" customFormat="false" ht="15" hidden="false" customHeight="true" outlineLevel="0" collapsed="false">
      <c r="A23" s="6" t="s">
        <v>179</v>
      </c>
      <c r="B23" s="22" t="n">
        <v>247174</v>
      </c>
      <c r="C23" s="22" t="n">
        <v>0</v>
      </c>
      <c r="D23" s="22" t="n">
        <v>0</v>
      </c>
      <c r="E23" s="22" t="n">
        <v>0</v>
      </c>
      <c r="F23" s="22" t="n">
        <v>0</v>
      </c>
      <c r="G23" s="22" t="n">
        <v>0</v>
      </c>
      <c r="H23" s="22" t="n">
        <v>0</v>
      </c>
      <c r="I23" s="22" t="n">
        <v>0</v>
      </c>
    </row>
    <row r="24" customFormat="false" ht="15" hidden="false" customHeight="true" outlineLevel="0" collapsed="false">
      <c r="A24" s="15" t="s">
        <v>180</v>
      </c>
      <c r="B24" s="28" t="n">
        <f aca="false">SUM(B19:B23)</f>
        <v>2369002</v>
      </c>
      <c r="C24" s="28" t="n">
        <f aca="false">SUM(C19:C23)</f>
        <v>2409802</v>
      </c>
      <c r="D24" s="28" t="n">
        <f aca="false">SUM(D19:D23)</f>
        <v>3057178</v>
      </c>
      <c r="E24" s="28" t="n">
        <f aca="false">SUM(E19:E23)</f>
        <v>3872752.849452</v>
      </c>
      <c r="F24" s="28" t="n">
        <f aca="false">SUM(F19:F23)</f>
        <v>4468097.20086854</v>
      </c>
      <c r="G24" s="28" t="n">
        <f aca="false">SUM(G19:G23)</f>
        <v>5097634.51209373</v>
      </c>
      <c r="H24" s="28" t="n">
        <f aca="false">SUM(H19:H23)</f>
        <v>5712965.73731592</v>
      </c>
      <c r="I24" s="28" t="n">
        <f aca="false">SUM(I19:I23)</f>
        <v>6238733.71682137</v>
      </c>
    </row>
    <row r="25" customFormat="false" ht="15" hidden="false" customHeight="true" outlineLevel="0" collapsed="false">
      <c r="A25" s="15" t="s">
        <v>181</v>
      </c>
      <c r="B25" s="33" t="n">
        <f aca="false">B15-B17-B24</f>
        <v>-301158</v>
      </c>
      <c r="C25" s="33" t="n">
        <f aca="false">C15-C17-C24</f>
        <v>233345</v>
      </c>
      <c r="D25" s="33" t="n">
        <f aca="false">D15-D17-D24</f>
        <v>525857</v>
      </c>
      <c r="E25" s="33" t="n">
        <f aca="false">E15-E17-E24</f>
        <v>813714.815148</v>
      </c>
      <c r="F25" s="33" t="n">
        <f aca="false">F15-F17-F24</f>
        <v>1144768.07721721</v>
      </c>
      <c r="G25" s="33" t="n">
        <f aca="false">G15-G17-G24</f>
        <v>1514037.30759899</v>
      </c>
      <c r="H25" s="33" t="n">
        <f aca="false">H15-H17-H24</f>
        <v>1895756.53653503</v>
      </c>
      <c r="I25" s="33" t="n">
        <f aca="false">I15-I17-I24</f>
        <v>2356028.75421155</v>
      </c>
    </row>
    <row r="26" customFormat="false" ht="15" hidden="false" customHeight="true" outlineLevel="0" collapsed="false">
      <c r="A26" s="6" t="s">
        <v>182</v>
      </c>
      <c r="B26" s="22" t="n">
        <v>-416</v>
      </c>
      <c r="C26" s="22" t="n">
        <v>-265320</v>
      </c>
      <c r="D26" s="22" t="n">
        <v>44537</v>
      </c>
      <c r="E26" s="21" t="n">
        <f aca="false">E25*Assumptions!E24</f>
        <v>203428.703787</v>
      </c>
      <c r="F26" s="21" t="n">
        <f aca="false">F25*Assumptions!F24</f>
        <v>286192.019304302</v>
      </c>
      <c r="G26" s="21" t="n">
        <f aca="false">G25*Assumptions!G24</f>
        <v>378509.326899747</v>
      </c>
      <c r="H26" s="21" t="n">
        <f aca="false">H25*Assumptions!H24</f>
        <v>473939.134133758</v>
      </c>
      <c r="I26" s="21" t="n">
        <f aca="false">I25*Assumptions!I24</f>
        <v>589007.188552887</v>
      </c>
      <c r="K26" s="18" t="s">
        <v>183</v>
      </c>
    </row>
    <row r="27" customFormat="false" ht="15" hidden="false" customHeight="true" outlineLevel="0" collapsed="false">
      <c r="A27" s="15" t="s">
        <v>184</v>
      </c>
      <c r="B27" s="28" t="n">
        <f aca="false">B25-B26</f>
        <v>-300742</v>
      </c>
      <c r="C27" s="28" t="n">
        <f aca="false">C25-C26</f>
        <v>498665</v>
      </c>
      <c r="D27" s="28" t="n">
        <f aca="false">D25-D26</f>
        <v>481320</v>
      </c>
      <c r="E27" s="28" t="n">
        <f aca="false">E25-E26</f>
        <v>610286.111361</v>
      </c>
      <c r="F27" s="28" t="n">
        <f aca="false">F25-F26</f>
        <v>858576.057912906</v>
      </c>
      <c r="G27" s="28" t="n">
        <f aca="false">G25-G26</f>
        <v>1135527.98069924</v>
      </c>
      <c r="H27" s="28" t="n">
        <f aca="false">H25-H26</f>
        <v>1421817.40240127</v>
      </c>
      <c r="I27" s="28" t="n">
        <f aca="false">I25-I26</f>
        <v>1767021.56565866</v>
      </c>
    </row>
    <row r="28" customFormat="false" ht="15" hidden="false" customHeight="true" outlineLevel="0" collapsed="false">
      <c r="A28" s="6" t="s">
        <v>185</v>
      </c>
      <c r="B28" s="22" t="n">
        <v>-40425</v>
      </c>
      <c r="C28" s="22" t="n">
        <v>-19529</v>
      </c>
      <c r="D28" s="22" t="n">
        <v>0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0</v>
      </c>
    </row>
    <row r="29" customFormat="false" ht="15" hidden="false" customHeight="true" outlineLevel="0" collapsed="false">
      <c r="A29" s="15" t="s">
        <v>186</v>
      </c>
      <c r="B29" s="35" t="n">
        <f aca="false">B27+B28</f>
        <v>-341167</v>
      </c>
      <c r="C29" s="35" t="n">
        <f aca="false">C27+C28</f>
        <v>479136</v>
      </c>
      <c r="D29" s="35" t="n">
        <f aca="false">D27+D28</f>
        <v>481320</v>
      </c>
      <c r="E29" s="35" t="n">
        <f aca="false">E27+E28</f>
        <v>610286.111361</v>
      </c>
      <c r="F29" s="35" t="n">
        <f aca="false">F27+F28</f>
        <v>858576.057912906</v>
      </c>
      <c r="G29" s="35" t="n">
        <f aca="false">G27+G28</f>
        <v>1135527.98069924</v>
      </c>
      <c r="H29" s="35" t="n">
        <f aca="false">H27+H28</f>
        <v>1421817.40240127</v>
      </c>
      <c r="I29" s="35" t="n">
        <f aca="false">I27+I28</f>
        <v>1767021.56565866</v>
      </c>
    </row>
    <row r="31" customFormat="false" ht="15" hidden="false" customHeight="true" outlineLevel="0" collapsed="false">
      <c r="A31" s="6" t="s">
        <v>187</v>
      </c>
      <c r="B31" s="22" t="n">
        <v>945024</v>
      </c>
      <c r="C31" s="22" t="n">
        <v>1101390</v>
      </c>
      <c r="D31" s="22" t="n">
        <v>1251767</v>
      </c>
      <c r="E31" s="21" t="n">
        <f aca="false">D31*(1+Assumptions!E28)</f>
        <v>1276802.34</v>
      </c>
      <c r="F31" s="21" t="n">
        <f aca="false">E31*(1+Assumptions!F28)</f>
        <v>1302338.3868</v>
      </c>
      <c r="G31" s="21" t="n">
        <f aca="false">F31*(1+Assumptions!G28)</f>
        <v>1328385.154536</v>
      </c>
      <c r="H31" s="21" t="n">
        <f aca="false">G31*(1+Assumptions!H28)</f>
        <v>1354952.85762672</v>
      </c>
      <c r="I31" s="21" t="n">
        <f aca="false">H31*(1+Assumptions!I28)</f>
        <v>1382051.91477925</v>
      </c>
    </row>
    <row r="32" customFormat="false" ht="15" hidden="false" customHeight="true" outlineLevel="0" collapsed="false">
      <c r="A32" s="15" t="s">
        <v>188</v>
      </c>
      <c r="B32" s="41" t="n">
        <v>-0.36</v>
      </c>
      <c r="C32" s="41" t="n">
        <v>0.39</v>
      </c>
      <c r="D32" s="41" t="n">
        <v>0.39</v>
      </c>
      <c r="E32" s="42" t="n">
        <f aca="false">E29/E31</f>
        <v>0.477980100945774</v>
      </c>
      <c r="F32" s="42" t="n">
        <f aca="false">F29/F31</f>
        <v>0.659257276461404</v>
      </c>
      <c r="G32" s="42" t="n">
        <f aca="false">G29/G31</f>
        <v>0.854818330980127</v>
      </c>
      <c r="H32" s="42" t="n">
        <f aca="false">H29/H31</f>
        <v>1.04934824440436</v>
      </c>
      <c r="I32" s="42" t="n">
        <f aca="false">I29/I31</f>
        <v>1.27854934157151</v>
      </c>
      <c r="K32" s="18" t="s">
        <v>189</v>
      </c>
    </row>
    <row r="34" customFormat="false" ht="15" hidden="false" customHeight="true" outlineLevel="0" collapsed="false">
      <c r="A34" s="20" t="s">
        <v>190</v>
      </c>
      <c r="B34" s="22" t="n">
        <v>271216</v>
      </c>
      <c r="C34" s="22" t="n">
        <v>246152</v>
      </c>
      <c r="D34" s="22" t="n">
        <v>262058</v>
      </c>
      <c r="E34" s="21" t="n">
        <f aca="false">E15*Assumptions!E25</f>
        <v>330600.853002</v>
      </c>
      <c r="F34" s="21" t="n">
        <f aca="false">F15*Assumptions!F25</f>
        <v>367628.250704374</v>
      </c>
      <c r="G34" s="21" t="n">
        <f aca="false">G15*Assumptions!G25</f>
        <v>399814.471536763</v>
      </c>
      <c r="H34" s="21" t="n">
        <f aca="false">H15*Assumptions!H25</f>
        <v>444767.802368219</v>
      </c>
      <c r="I34" s="21" t="n">
        <f aca="false">I15*Assumptions!I25</f>
        <v>476569.936701632</v>
      </c>
    </row>
    <row r="35" customFormat="false" ht="15" hidden="false" customHeight="true" outlineLevel="0" collapsed="false">
      <c r="A35" s="20" t="s">
        <v>191</v>
      </c>
      <c r="B35" s="22" t="n">
        <v>201416</v>
      </c>
      <c r="C35" s="22" t="n">
        <v>203498</v>
      </c>
      <c r="D35" s="22" t="n">
        <v>234151</v>
      </c>
      <c r="E35" s="21" t="n">
        <f aca="false">E15*Assumptions!E26</f>
        <v>292817.8983732</v>
      </c>
      <c r="F35" s="21" t="n">
        <f aca="false">F15*Assumptions!F26</f>
        <v>350660.792979557</v>
      </c>
      <c r="G35" s="21" t="n">
        <f aca="false">G15*Assumptions!G26</f>
        <v>413141.620587989</v>
      </c>
      <c r="H35" s="21" t="n">
        <f aca="false">H15*Assumptions!H26</f>
        <v>475441.443910855</v>
      </c>
      <c r="I35" s="21" t="n">
        <f aca="false">I15*Assumptions!I26</f>
        <v>537224.29228184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9" min="2" style="1" width="13.5"/>
    <col collapsed="false" customWidth="true" hidden="false" outlineLevel="0" max="10" min="10" style="1" width="2"/>
    <col collapsed="false" customWidth="true" hidden="false" outlineLevel="0" max="11" min="11" style="1" width="60"/>
  </cols>
  <sheetData>
    <row r="1" customFormat="false" ht="15" hidden="false" customHeight="true" outlineLevel="0" collapsed="false">
      <c r="A1" s="12" t="s">
        <v>192</v>
      </c>
    </row>
    <row r="2" customFormat="false" ht="15" hidden="false" customHeight="true" outlineLevel="0" collapsed="false">
      <c r="A2" s="11" t="s">
        <v>25</v>
      </c>
    </row>
    <row r="3" customFormat="false" ht="15" hidden="false" customHeight="true" outlineLevel="0" collapsed="false">
      <c r="A3" s="13"/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4" t="s">
        <v>32</v>
      </c>
      <c r="I3" s="14" t="s">
        <v>33</v>
      </c>
    </row>
    <row r="4" customFormat="false" ht="15" hidden="false" customHeight="true" outlineLevel="0" collapsed="false">
      <c r="A4" s="15" t="s">
        <v>193</v>
      </c>
    </row>
    <row r="5" customFormat="false" ht="15" hidden="false" customHeight="true" outlineLevel="0" collapsed="false">
      <c r="A5" s="6" t="s">
        <v>194</v>
      </c>
      <c r="B5" s="22" t="n">
        <v>3085020</v>
      </c>
      <c r="C5" s="22" t="n">
        <v>2538293</v>
      </c>
      <c r="D5" s="22" t="n">
        <v>4929452</v>
      </c>
      <c r="E5" s="34" t="n">
        <f aca="false">'Cash Flow'!E33</f>
        <v>6153664.2535944</v>
      </c>
      <c r="F5" s="34" t="n">
        <f aca="false">'Cash Flow'!F33</f>
        <v>8087990.28194083</v>
      </c>
      <c r="G5" s="34" t="n">
        <f aca="false">'Cash Flow'!G33</f>
        <v>10703155.5207686</v>
      </c>
      <c r="H5" s="34" t="n">
        <f aca="false">'Cash Flow'!H33</f>
        <v>13574308.3691029</v>
      </c>
      <c r="I5" s="34" t="n">
        <f aca="false">'Cash Flow'!I33</f>
        <v>17142322.0446077</v>
      </c>
    </row>
    <row r="6" customFormat="false" ht="15" hidden="false" customHeight="true" outlineLevel="0" collapsed="false">
      <c r="A6" s="6" t="s">
        <v>195</v>
      </c>
      <c r="B6" s="22" t="n">
        <v>530558</v>
      </c>
      <c r="C6" s="22" t="n">
        <v>171067</v>
      </c>
      <c r="D6" s="22" t="n">
        <v>427321</v>
      </c>
      <c r="E6" s="21" t="n">
        <f aca="false">D6</f>
        <v>427321</v>
      </c>
      <c r="F6" s="21" t="n">
        <f aca="false">E6</f>
        <v>427321</v>
      </c>
      <c r="G6" s="21" t="n">
        <f aca="false">F6</f>
        <v>427321</v>
      </c>
      <c r="H6" s="21" t="n">
        <f aca="false">G6</f>
        <v>427321</v>
      </c>
      <c r="I6" s="21" t="n">
        <f aca="false">H6</f>
        <v>427321</v>
      </c>
    </row>
    <row r="7" customFormat="false" ht="15" hidden="false" customHeight="true" outlineLevel="0" collapsed="false">
      <c r="A7" s="6" t="s">
        <v>196</v>
      </c>
      <c r="B7" s="22" t="n">
        <v>701935</v>
      </c>
      <c r="C7" s="22" t="n">
        <v>1895689</v>
      </c>
      <c r="D7" s="22" t="n">
        <v>2575607</v>
      </c>
      <c r="E7" s="21" t="n">
        <f aca="false">D7*(1+Assumptions!E9)</f>
        <v>3219508.75</v>
      </c>
      <c r="F7" s="21" t="n">
        <f aca="false">E7*(1+Assumptions!F9)</f>
        <v>3863410.5</v>
      </c>
      <c r="G7" s="21" t="n">
        <f aca="false">F7*(1+Assumptions!G9)</f>
        <v>4558824.39</v>
      </c>
      <c r="H7" s="21" t="n">
        <f aca="false">G7*(1+Assumptions!H9)</f>
        <v>5242648.0485</v>
      </c>
      <c r="I7" s="21" t="n">
        <f aca="false">H7*(1+Assumptions!I9)</f>
        <v>5871765.81432</v>
      </c>
    </row>
    <row r="8" customFormat="false" ht="15" hidden="false" customHeight="true" outlineLevel="0" collapsed="false">
      <c r="A8" s="6" t="s">
        <v>197</v>
      </c>
      <c r="B8" s="22" t="n">
        <v>15396771</v>
      </c>
      <c r="C8" s="22" t="n">
        <v>17684892</v>
      </c>
      <c r="D8" s="22" t="n">
        <v>22862749</v>
      </c>
      <c r="E8" s="21" t="n">
        <f aca="false">D8*(1+Assumptions!E6)</f>
        <v>27435298.8</v>
      </c>
      <c r="F8" s="21" t="n">
        <f aca="false">E8*(1+Assumptions!F6)</f>
        <v>32373652.584</v>
      </c>
      <c r="G8" s="21" t="n">
        <f aca="false">F8*(1+Assumptions!G6)</f>
        <v>37229700.4716</v>
      </c>
      <c r="H8" s="21" t="n">
        <f aca="false">G8*(1+Assumptions!H6)</f>
        <v>42069561.532908</v>
      </c>
      <c r="I8" s="21" t="n">
        <f aca="false">H8*(1+Assumptions!I6)</f>
        <v>47117908.916857</v>
      </c>
    </row>
    <row r="9" customFormat="false" ht="15" hidden="false" customHeight="true" outlineLevel="0" collapsed="false">
      <c r="A9" s="6" t="s">
        <v>198</v>
      </c>
      <c r="B9" s="22" t="n">
        <v>6725484</v>
      </c>
      <c r="C9" s="22" t="n">
        <v>8597368</v>
      </c>
      <c r="D9" s="22" t="n">
        <v>13657578</v>
      </c>
      <c r="E9" s="21" t="n">
        <f aca="false">D9*(1+Assumptions!E7)</f>
        <v>17754851.4</v>
      </c>
      <c r="F9" s="21" t="n">
        <f aca="false">E9*(1+Assumptions!F7)</f>
        <v>22193564.25</v>
      </c>
      <c r="G9" s="21" t="n">
        <f aca="false">F9*(1+Assumptions!G7)</f>
        <v>26632277.1</v>
      </c>
      <c r="H9" s="21" t="n">
        <f aca="false">G9*(1+Assumptions!H7)</f>
        <v>31426086.978</v>
      </c>
      <c r="I9" s="21" t="n">
        <f aca="false">H9*(1+Assumptions!I7)</f>
        <v>36140000.0247</v>
      </c>
    </row>
    <row r="10" customFormat="false" ht="15" hidden="false" customHeight="true" outlineLevel="0" collapsed="false">
      <c r="A10" s="6" t="s">
        <v>199</v>
      </c>
      <c r="B10" s="22" t="n">
        <v>836159</v>
      </c>
      <c r="C10" s="22" t="n">
        <v>1246458</v>
      </c>
      <c r="D10" s="22" t="n">
        <v>1516736</v>
      </c>
      <c r="E10" s="21" t="n">
        <f aca="false">D10*(1+Assumptions!E8)</f>
        <v>1789748.48</v>
      </c>
      <c r="F10" s="21" t="n">
        <f aca="false">E10*(1+Assumptions!F8)</f>
        <v>2076108.2368</v>
      </c>
      <c r="G10" s="21" t="n">
        <f aca="false">F10*(1+Assumptions!G8)</f>
        <v>2387524.47232</v>
      </c>
      <c r="H10" s="21" t="n">
        <f aca="false">G10*(1+Assumptions!H8)</f>
        <v>2697902.6537216</v>
      </c>
      <c r="I10" s="21" t="n">
        <f aca="false">H10*(1+Assumptions!I8)</f>
        <v>3021650.97216819</v>
      </c>
    </row>
    <row r="11" customFormat="false" ht="15" hidden="false" customHeight="true" outlineLevel="0" collapsed="false">
      <c r="A11" s="6" t="s">
        <v>200</v>
      </c>
      <c r="B11" s="22" t="n">
        <v>180469</v>
      </c>
      <c r="C11" s="22" t="n">
        <v>342128</v>
      </c>
      <c r="D11" s="22" t="n">
        <v>378178</v>
      </c>
      <c r="E11" s="21" t="n">
        <f aca="false">D11*(1+Assumptions!E10)</f>
        <v>400868.68</v>
      </c>
      <c r="F11" s="21" t="n">
        <f aca="false">E11*(1+Assumptions!F10)</f>
        <v>424920.8008</v>
      </c>
      <c r="G11" s="21" t="n">
        <f aca="false">F11*(1+Assumptions!G10)</f>
        <v>450416.048848</v>
      </c>
      <c r="H11" s="21" t="n">
        <f aca="false">G11*(1+Assumptions!H10)</f>
        <v>477441.01177888</v>
      </c>
      <c r="I11" s="21" t="n">
        <f aca="false">H11*(1+Assumptions!I10)</f>
        <v>506087.472485613</v>
      </c>
    </row>
    <row r="12" customFormat="false" ht="15" hidden="false" customHeight="true" outlineLevel="0" collapsed="false">
      <c r="A12" s="6" t="s">
        <v>201</v>
      </c>
      <c r="B12" s="22" t="n">
        <v>216908</v>
      </c>
      <c r="C12" s="22" t="n">
        <v>287869</v>
      </c>
      <c r="D12" s="22" t="n">
        <v>416448</v>
      </c>
      <c r="E12" s="21" t="n">
        <f aca="false">D12-'Cash Flow'!E17-'Cash Flow'!E6</f>
        <v>444785.2159716</v>
      </c>
      <c r="F12" s="21" t="n">
        <f aca="false">E12-'Cash Flow'!F17-'Cash Flow'!F6</f>
        <v>478720.131421235</v>
      </c>
      <c r="G12" s="21" t="n">
        <f aca="false">F12-'Cash Flow'!G17-'Cash Flow'!G6</f>
        <v>518701.578574911</v>
      </c>
      <c r="H12" s="21" t="n">
        <f aca="false">G12-'Cash Flow'!H17-'Cash Flow'!H6</f>
        <v>564712.040888865</v>
      </c>
      <c r="I12" s="21" t="n">
        <f aca="false">H12-'Cash Flow'!I17-'Cash Flow'!I6</f>
        <v>616701.488529043</v>
      </c>
    </row>
    <row r="13" customFormat="false" ht="15" hidden="false" customHeight="true" outlineLevel="0" collapsed="false">
      <c r="A13" s="6" t="s">
        <v>202</v>
      </c>
      <c r="B13" s="22" t="n">
        <v>1393505</v>
      </c>
      <c r="C13" s="22" t="n">
        <v>1393505</v>
      </c>
      <c r="D13" s="22" t="n">
        <v>1393505</v>
      </c>
      <c r="E13" s="21" t="n">
        <f aca="false">D13</f>
        <v>1393505</v>
      </c>
      <c r="F13" s="21" t="n">
        <f aca="false">E13</f>
        <v>1393505</v>
      </c>
      <c r="G13" s="21" t="n">
        <f aca="false">F13</f>
        <v>1393505</v>
      </c>
      <c r="H13" s="21" t="n">
        <f aca="false">G13</f>
        <v>1393505</v>
      </c>
      <c r="I13" s="21" t="n">
        <f aca="false">H13</f>
        <v>1393505</v>
      </c>
    </row>
    <row r="14" customFormat="false" ht="15" hidden="false" customHeight="true" outlineLevel="0" collapsed="false">
      <c r="A14" s="6" t="s">
        <v>203</v>
      </c>
      <c r="B14" s="22" t="n">
        <v>364048</v>
      </c>
      <c r="C14" s="22" t="n">
        <v>297794</v>
      </c>
      <c r="D14" s="22" t="n">
        <v>231919</v>
      </c>
      <c r="E14" s="21" t="n">
        <f aca="false">D14</f>
        <v>231919</v>
      </c>
      <c r="F14" s="21" t="n">
        <f aca="false">E14</f>
        <v>231919</v>
      </c>
      <c r="G14" s="21" t="n">
        <f aca="false">F14</f>
        <v>231919</v>
      </c>
      <c r="H14" s="21" t="n">
        <f aca="false">G14</f>
        <v>231919</v>
      </c>
      <c r="I14" s="21" t="n">
        <f aca="false">H14</f>
        <v>231919</v>
      </c>
    </row>
    <row r="15" customFormat="false" ht="15" hidden="false" customHeight="true" outlineLevel="0" collapsed="false">
      <c r="A15" s="6" t="s">
        <v>204</v>
      </c>
      <c r="B15" s="22" t="n">
        <v>89635</v>
      </c>
      <c r="C15" s="22" t="n">
        <v>81219</v>
      </c>
      <c r="D15" s="22" t="n">
        <v>93941</v>
      </c>
      <c r="E15" s="21" t="n">
        <f aca="false">D15</f>
        <v>93941</v>
      </c>
      <c r="F15" s="21" t="n">
        <f aca="false">E15</f>
        <v>93941</v>
      </c>
      <c r="G15" s="21" t="n">
        <f aca="false">F15</f>
        <v>93941</v>
      </c>
      <c r="H15" s="21" t="n">
        <f aca="false">G15</f>
        <v>93941</v>
      </c>
      <c r="I15" s="21" t="n">
        <f aca="false">H15</f>
        <v>93941</v>
      </c>
    </row>
    <row r="16" customFormat="false" ht="15" hidden="false" customHeight="true" outlineLevel="0" collapsed="false">
      <c r="A16" s="6" t="s">
        <v>205</v>
      </c>
      <c r="B16" s="22" t="n">
        <v>554366</v>
      </c>
      <c r="C16" s="22" t="n">
        <v>1714669</v>
      </c>
      <c r="D16" s="22" t="n">
        <v>2177044</v>
      </c>
      <c r="E16" s="21" t="n">
        <f aca="false">'Income Statement'!E15*Assumptions!E31</f>
        <v>2833721.59716</v>
      </c>
      <c r="F16" s="21" t="n">
        <f aca="false">'Income Statement'!F15*Assumptions!F31</f>
        <v>3336933.35254739</v>
      </c>
      <c r="G16" s="21" t="n">
        <f aca="false">'Income Statement'!G15*Assumptions!G31</f>
        <v>3864873.22485538</v>
      </c>
      <c r="H16" s="21" t="n">
        <f aca="false">'Income Statement'!H15*Assumptions!H31</f>
        <v>4370993.9198256</v>
      </c>
      <c r="I16" s="21" t="n">
        <f aca="false">'Income Statement'!I15*Assumptions!I31</f>
        <v>4852348.44641662</v>
      </c>
      <c r="K16" s="18" t="s">
        <v>206</v>
      </c>
    </row>
    <row r="17" customFormat="false" ht="15" hidden="false" customHeight="true" outlineLevel="0" collapsed="false">
      <c r="A17" s="15" t="s">
        <v>207</v>
      </c>
      <c r="B17" s="35" t="n">
        <f aca="false">SUM(B5:B16)</f>
        <v>30074858</v>
      </c>
      <c r="C17" s="35" t="n">
        <f aca="false">SUM(C5:C16)</f>
        <v>36250951</v>
      </c>
      <c r="D17" s="35" t="n">
        <f aca="false">SUM(D5:D16)</f>
        <v>50660478</v>
      </c>
      <c r="E17" s="35" t="n">
        <f aca="false">SUM(E5:E16)</f>
        <v>62179133.176726</v>
      </c>
      <c r="F17" s="35" t="n">
        <f aca="false">SUM(F5:F16)</f>
        <v>74981986.1375095</v>
      </c>
      <c r="G17" s="35" t="n">
        <f aca="false">SUM(G5:G16)</f>
        <v>88492158.8069669</v>
      </c>
      <c r="H17" s="35" t="n">
        <f aca="false">SUM(H5:H16)</f>
        <v>102570340.554726</v>
      </c>
      <c r="I17" s="35" t="n">
        <f aca="false">SUM(I5:I16)</f>
        <v>117415471.180084</v>
      </c>
    </row>
    <row r="19" customFormat="false" ht="15" hidden="false" customHeight="true" outlineLevel="0" collapsed="false">
      <c r="A19" s="15" t="s">
        <v>208</v>
      </c>
    </row>
    <row r="20" customFormat="false" ht="15" hidden="false" customHeight="true" outlineLevel="0" collapsed="false">
      <c r="A20" s="6" t="s">
        <v>209</v>
      </c>
      <c r="B20" s="22" t="n">
        <v>18568993</v>
      </c>
      <c r="C20" s="22" t="n">
        <v>25861400</v>
      </c>
      <c r="D20" s="22" t="n">
        <v>37387350</v>
      </c>
      <c r="E20" s="21" t="n">
        <f aca="false">D20*(1+Assumptions!E5)</f>
        <v>47855808</v>
      </c>
      <c r="F20" s="21" t="n">
        <f aca="false">E20*(1+Assumptions!F5)</f>
        <v>59341201.92</v>
      </c>
      <c r="G20" s="21" t="n">
        <f aca="false">F20*(1+Assumptions!G5)</f>
        <v>71209442.304</v>
      </c>
      <c r="H20" s="21" t="n">
        <f aca="false">G20*(1+Assumptions!H5)</f>
        <v>83315047.49568</v>
      </c>
      <c r="I20" s="21" t="n">
        <f aca="false">H20*(1+Assumptions!I5)</f>
        <v>95812304.620032</v>
      </c>
    </row>
    <row r="21" customFormat="false" ht="15" hidden="false" customHeight="true" outlineLevel="0" collapsed="false">
      <c r="A21" s="6" t="s">
        <v>210</v>
      </c>
      <c r="B21" s="22" t="n">
        <v>51670</v>
      </c>
      <c r="C21" s="22" t="n">
        <v>116804</v>
      </c>
      <c r="D21" s="22" t="n">
        <v>118045</v>
      </c>
      <c r="E21" s="21" t="n">
        <f aca="false">D21</f>
        <v>118045</v>
      </c>
      <c r="F21" s="21" t="n">
        <f aca="false">E21</f>
        <v>118045</v>
      </c>
      <c r="G21" s="21" t="n">
        <f aca="false">F21</f>
        <v>118045</v>
      </c>
      <c r="H21" s="21" t="n">
        <f aca="false">G21</f>
        <v>118045</v>
      </c>
      <c r="I21" s="21" t="n">
        <f aca="false">H21</f>
        <v>118045</v>
      </c>
    </row>
    <row r="22" customFormat="false" ht="15" hidden="false" customHeight="true" outlineLevel="0" collapsed="false">
      <c r="A22" s="15" t="s">
        <v>211</v>
      </c>
      <c r="B22" s="28" t="n">
        <f aca="false">B20+B21</f>
        <v>18620663</v>
      </c>
      <c r="C22" s="28" t="n">
        <f aca="false">C20+C21</f>
        <v>25978204</v>
      </c>
      <c r="D22" s="28" t="n">
        <f aca="false">D20+D21</f>
        <v>37505395</v>
      </c>
      <c r="E22" s="28" t="n">
        <f aca="false">E20+E21</f>
        <v>47973853</v>
      </c>
      <c r="F22" s="28" t="n">
        <f aca="false">F20+F21</f>
        <v>59459246.92</v>
      </c>
      <c r="G22" s="28" t="n">
        <f aca="false">G20+G21</f>
        <v>71327487.304</v>
      </c>
      <c r="H22" s="28" t="n">
        <f aca="false">H20+H21</f>
        <v>83433092.49568</v>
      </c>
      <c r="I22" s="28" t="n">
        <f aca="false">I20+I21</f>
        <v>95930349.620032</v>
      </c>
    </row>
    <row r="23" customFormat="false" ht="15" hidden="false" customHeight="true" outlineLevel="0" collapsed="false">
      <c r="A23" s="6" t="s">
        <v>212</v>
      </c>
      <c r="B23" s="22" t="n">
        <v>549748</v>
      </c>
      <c r="C23" s="22" t="n">
        <v>556923</v>
      </c>
      <c r="D23" s="22" t="n">
        <v>743716</v>
      </c>
      <c r="E23" s="21" t="n">
        <f aca="false">'Income Statement'!E15*Assumptions!E32</f>
        <v>968188.212363</v>
      </c>
      <c r="F23" s="21" t="n">
        <f aca="false">'Income Statement'!F15*Assumptions!F32</f>
        <v>1159442.94452918</v>
      </c>
      <c r="G23" s="21" t="n">
        <f aca="false">'Income Statement'!G15*Assumptions!G32</f>
        <v>1366032.77775061</v>
      </c>
      <c r="H23" s="21" t="n">
        <f aca="false">'Income Statement'!H15*Assumptions!H32</f>
        <v>1572024.12906008</v>
      </c>
      <c r="I23" s="21" t="n">
        <f aca="false">'Income Statement'!I15*Assumptions!I32</f>
        <v>1776306.12770608</v>
      </c>
    </row>
    <row r="24" customFormat="false" ht="15" hidden="false" customHeight="true" outlineLevel="0" collapsed="false">
      <c r="A24" s="6" t="s">
        <v>213</v>
      </c>
      <c r="B24" s="22" t="n">
        <v>108649</v>
      </c>
      <c r="C24" s="22" t="n">
        <v>97389</v>
      </c>
      <c r="D24" s="22" t="n">
        <v>106190</v>
      </c>
      <c r="E24" s="21" t="n">
        <f aca="false">D24</f>
        <v>106190</v>
      </c>
      <c r="F24" s="21" t="n">
        <f aca="false">E24</f>
        <v>106190</v>
      </c>
      <c r="G24" s="21" t="n">
        <f aca="false">F24</f>
        <v>106190</v>
      </c>
      <c r="H24" s="21" t="n">
        <f aca="false">G24</f>
        <v>106190</v>
      </c>
      <c r="I24" s="21" t="n">
        <f aca="false">H24</f>
        <v>106190</v>
      </c>
    </row>
    <row r="25" customFormat="false" ht="15" hidden="false" customHeight="true" outlineLevel="0" collapsed="false">
      <c r="A25" s="6" t="s">
        <v>214</v>
      </c>
      <c r="B25" s="22" t="n">
        <v>5233416</v>
      </c>
      <c r="C25" s="22" t="n">
        <v>3092692</v>
      </c>
      <c r="D25" s="22" t="n">
        <v>1815162</v>
      </c>
      <c r="E25" s="34" t="n">
        <f aca="false">Assumptions!E33</f>
        <v>1700000</v>
      </c>
      <c r="F25" s="34" t="n">
        <f aca="false">Assumptions!F33</f>
        <v>1600000</v>
      </c>
      <c r="G25" s="34" t="n">
        <f aca="false">Assumptions!G33</f>
        <v>1500000</v>
      </c>
      <c r="H25" s="34" t="n">
        <f aca="false">Assumptions!H33</f>
        <v>1400000</v>
      </c>
      <c r="I25" s="34" t="n">
        <f aca="false">Assumptions!I33</f>
        <v>1300000</v>
      </c>
    </row>
    <row r="26" customFormat="false" ht="15" hidden="false" customHeight="true" outlineLevel="0" collapsed="false">
      <c r="A26" s="6" t="s">
        <v>215</v>
      </c>
      <c r="B26" s="22" t="n">
        <v>7396</v>
      </c>
      <c r="C26" s="22" t="n">
        <v>609</v>
      </c>
      <c r="D26" s="22" t="n">
        <v>520</v>
      </c>
      <c r="E26" s="21" t="n">
        <f aca="false">D26</f>
        <v>520</v>
      </c>
      <c r="F26" s="21" t="n">
        <f aca="false">E26</f>
        <v>520</v>
      </c>
      <c r="G26" s="21" t="n">
        <f aca="false">F26</f>
        <v>520</v>
      </c>
      <c r="H26" s="21" t="n">
        <f aca="false">G26</f>
        <v>520</v>
      </c>
      <c r="I26" s="21" t="n">
        <f aca="false">H26</f>
        <v>520</v>
      </c>
    </row>
    <row r="27" customFormat="false" ht="15" hidden="false" customHeight="true" outlineLevel="0" collapsed="false">
      <c r="A27" s="15" t="s">
        <v>216</v>
      </c>
      <c r="B27" s="28" t="n">
        <f aca="false">B22+SUM(B23:B26)</f>
        <v>24519872</v>
      </c>
      <c r="C27" s="28" t="n">
        <f aca="false">C22+SUM(C23:C26)</f>
        <v>29725817</v>
      </c>
      <c r="D27" s="28" t="n">
        <f aca="false">D22+SUM(D23:D26)</f>
        <v>40170983</v>
      </c>
      <c r="E27" s="28" t="n">
        <f aca="false">E22+SUM(E23:E26)</f>
        <v>50748751.212363</v>
      </c>
      <c r="F27" s="28" t="n">
        <f aca="false">F22+SUM(F23:F26)</f>
        <v>62325399.8645292</v>
      </c>
      <c r="G27" s="28" t="n">
        <f aca="false">G22+SUM(G23:G26)</f>
        <v>74300230.0817506</v>
      </c>
      <c r="H27" s="28" t="n">
        <f aca="false">H22+SUM(H23:H26)</f>
        <v>86511826.6247401</v>
      </c>
      <c r="I27" s="28" t="n">
        <f aca="false">I22+SUM(I23:I26)</f>
        <v>99113365.7477381</v>
      </c>
    </row>
    <row r="29" customFormat="false" ht="15" hidden="false" customHeight="true" outlineLevel="0" collapsed="false">
      <c r="A29" s="6" t="s">
        <v>217</v>
      </c>
      <c r="B29" s="22" t="n">
        <v>320374</v>
      </c>
      <c r="C29" s="22" t="n">
        <v>0</v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</row>
    <row r="30" customFormat="false" ht="15" hidden="false" customHeight="true" outlineLevel="0" collapsed="false">
      <c r="A30" s="15" t="s">
        <v>218</v>
      </c>
    </row>
    <row r="31" customFormat="false" ht="15" hidden="false" customHeight="true" outlineLevel="0" collapsed="false">
      <c r="A31" s="6" t="s">
        <v>219</v>
      </c>
      <c r="B31" s="22" t="n">
        <v>97</v>
      </c>
      <c r="C31" s="22" t="n">
        <v>109</v>
      </c>
      <c r="D31" s="22" t="n">
        <v>126</v>
      </c>
      <c r="E31" s="21" t="n">
        <f aca="false">D31</f>
        <v>126</v>
      </c>
      <c r="F31" s="21" t="n">
        <f aca="false">E31</f>
        <v>126</v>
      </c>
      <c r="G31" s="21" t="n">
        <f aca="false">F31</f>
        <v>126</v>
      </c>
      <c r="H31" s="21" t="n">
        <f aca="false">G31</f>
        <v>126</v>
      </c>
      <c r="I31" s="21" t="n">
        <f aca="false">H31</f>
        <v>126</v>
      </c>
    </row>
    <row r="32" customFormat="false" ht="15" hidden="false" customHeight="true" outlineLevel="0" collapsed="false">
      <c r="A32" s="6" t="s">
        <v>220</v>
      </c>
      <c r="B32" s="22" t="n">
        <v>7039987</v>
      </c>
      <c r="C32" s="22" t="n">
        <v>7838988</v>
      </c>
      <c r="D32" s="22" t="n">
        <v>11302668</v>
      </c>
      <c r="E32" s="21" t="n">
        <f aca="false">D32+'Cash Flow'!E7+'Cash Flow'!E24</f>
        <v>11633268.853002</v>
      </c>
      <c r="F32" s="21" t="n">
        <f aca="false">E32+'Cash Flow'!F7+'Cash Flow'!F24</f>
        <v>12000897.1037064</v>
      </c>
      <c r="G32" s="21" t="n">
        <f aca="false">F32+'Cash Flow'!G7+'Cash Flow'!G24</f>
        <v>12400711.5752431</v>
      </c>
      <c r="H32" s="21" t="n">
        <f aca="false">G32+'Cash Flow'!H7+'Cash Flow'!H24</f>
        <v>12845479.3776114</v>
      </c>
      <c r="I32" s="21" t="n">
        <f aca="false">H32+'Cash Flow'!I7+'Cash Flow'!I24</f>
        <v>13322049.314313</v>
      </c>
    </row>
    <row r="33" customFormat="false" ht="15" hidden="false" customHeight="true" outlineLevel="0" collapsed="false">
      <c r="A33" s="6" t="s">
        <v>221</v>
      </c>
      <c r="B33" s="22" t="n">
        <v>-1209</v>
      </c>
      <c r="C33" s="22" t="n">
        <v>-8365</v>
      </c>
      <c r="D33" s="22" t="n">
        <v>10979</v>
      </c>
      <c r="E33" s="21" t="n">
        <f aca="false">D33</f>
        <v>10979</v>
      </c>
      <c r="F33" s="21" t="n">
        <f aca="false">E33</f>
        <v>10979</v>
      </c>
      <c r="G33" s="21" t="n">
        <f aca="false">F33</f>
        <v>10979</v>
      </c>
      <c r="H33" s="21" t="n">
        <f aca="false">G33</f>
        <v>10979</v>
      </c>
      <c r="I33" s="21" t="n">
        <f aca="false">H33</f>
        <v>10979</v>
      </c>
    </row>
    <row r="34" customFormat="false" ht="15" hidden="false" customHeight="true" outlineLevel="0" collapsed="false">
      <c r="A34" s="6" t="s">
        <v>222</v>
      </c>
      <c r="B34" s="22" t="n">
        <v>-1804263</v>
      </c>
      <c r="C34" s="22" t="n">
        <v>-1305598</v>
      </c>
      <c r="D34" s="22" t="n">
        <v>-824278</v>
      </c>
      <c r="E34" s="21" t="n">
        <f aca="false">D34+'Income Statement'!E29</f>
        <v>-213991.888639</v>
      </c>
      <c r="F34" s="21" t="n">
        <f aca="false">E34+'Income Statement'!F29</f>
        <v>644584.169273906</v>
      </c>
      <c r="G34" s="21" t="n">
        <f aca="false">F34+'Income Statement'!G29</f>
        <v>1780112.14997315</v>
      </c>
      <c r="H34" s="21" t="n">
        <f aca="false">G34+'Income Statement'!H29</f>
        <v>3201929.55237442</v>
      </c>
      <c r="I34" s="21" t="n">
        <f aca="false">H34+'Income Statement'!I29</f>
        <v>4968951.11803308</v>
      </c>
    </row>
    <row r="35" customFormat="false" ht="15" hidden="false" customHeight="true" outlineLevel="0" collapsed="false">
      <c r="A35" s="15" t="s">
        <v>223</v>
      </c>
      <c r="B35" s="28" t="n">
        <f aca="false">SUM(B31:B34)</f>
        <v>5234612</v>
      </c>
      <c r="C35" s="28" t="n">
        <f aca="false">SUM(C31:C34)</f>
        <v>6525134</v>
      </c>
      <c r="D35" s="28" t="n">
        <f aca="false">SUM(D31:D34)</f>
        <v>10489495</v>
      </c>
      <c r="E35" s="28" t="n">
        <f aca="false">SUM(E31:E34)</f>
        <v>11430381.964363</v>
      </c>
      <c r="F35" s="28" t="n">
        <f aca="false">SUM(F31:F34)</f>
        <v>12656586.2729803</v>
      </c>
      <c r="G35" s="28" t="n">
        <f aca="false">SUM(G31:G34)</f>
        <v>14191928.7252163</v>
      </c>
      <c r="H35" s="28" t="n">
        <f aca="false">SUM(H31:H34)</f>
        <v>16058513.9299858</v>
      </c>
      <c r="I35" s="28" t="n">
        <f aca="false">SUM(I31:I34)</f>
        <v>18302105.4323461</v>
      </c>
    </row>
    <row r="36" customFormat="false" ht="15" hidden="false" customHeight="true" outlineLevel="0" collapsed="false">
      <c r="A36" s="15" t="s">
        <v>224</v>
      </c>
      <c r="B36" s="35" t="n">
        <f aca="false">B27+B29+B35</f>
        <v>30074858</v>
      </c>
      <c r="C36" s="35" t="n">
        <f aca="false">C27+C29+C35</f>
        <v>36250951</v>
      </c>
      <c r="D36" s="35" t="n">
        <f aca="false">D27+D29+D35</f>
        <v>50660478</v>
      </c>
      <c r="E36" s="35" t="n">
        <f aca="false">E27+E29+E35</f>
        <v>62179133.176726</v>
      </c>
      <c r="F36" s="35" t="n">
        <f aca="false">F27+F29+F35</f>
        <v>74981986.1375095</v>
      </c>
      <c r="G36" s="35" t="n">
        <f aca="false">G27+G29+G35</f>
        <v>88492158.8069669</v>
      </c>
      <c r="H36" s="35" t="n">
        <f aca="false">H27+H29+H35</f>
        <v>102570340.554726</v>
      </c>
      <c r="I36" s="35" t="n">
        <f aca="false">I27+I29+I35</f>
        <v>117415471.180084</v>
      </c>
    </row>
    <row r="38" customFormat="false" ht="15" hidden="false" customHeight="true" outlineLevel="0" collapsed="false">
      <c r="A38" s="20" t="s">
        <v>225</v>
      </c>
      <c r="B38" s="31" t="n">
        <f aca="false">B17-B36</f>
        <v>0</v>
      </c>
      <c r="C38" s="31" t="n">
        <f aca="false">C17-C36</f>
        <v>0</v>
      </c>
      <c r="D38" s="31" t="n">
        <f aca="false">D17-D36</f>
        <v>0</v>
      </c>
      <c r="E38" s="31" t="n">
        <f aca="false">E17-E36</f>
        <v>0</v>
      </c>
      <c r="F38" s="31" t="n">
        <f aca="false">F17-F36</f>
        <v>0</v>
      </c>
      <c r="G38" s="31" t="n">
        <f aca="false">G17-G36</f>
        <v>0</v>
      </c>
      <c r="H38" s="31" t="n">
        <f aca="false">H17-H36</f>
        <v>0</v>
      </c>
      <c r="I38" s="31" t="n">
        <f aca="false">I17-I36</f>
        <v>0</v>
      </c>
      <c r="K38" s="18" t="s">
        <v>226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9" min="2" style="1" width="13.5"/>
    <col collapsed="false" customWidth="true" hidden="false" outlineLevel="0" max="10" min="10" style="1" width="2"/>
    <col collapsed="false" customWidth="true" hidden="false" outlineLevel="0" max="11" min="11" style="1" width="60"/>
  </cols>
  <sheetData>
    <row r="1" customFormat="false" ht="15" hidden="false" customHeight="true" outlineLevel="0" collapsed="false">
      <c r="A1" s="12" t="s">
        <v>227</v>
      </c>
    </row>
    <row r="2" customFormat="false" ht="15" hidden="false" customHeight="true" outlineLevel="0" collapsed="false">
      <c r="A2" s="11" t="s">
        <v>25</v>
      </c>
    </row>
    <row r="3" customFormat="false" ht="15" hidden="false" customHeight="true" outlineLevel="0" collapsed="false">
      <c r="A3" s="13"/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4" t="s">
        <v>32</v>
      </c>
      <c r="I3" s="14" t="s">
        <v>33</v>
      </c>
    </row>
    <row r="4" customFormat="false" ht="15" hidden="false" customHeight="true" outlineLevel="0" collapsed="false">
      <c r="A4" s="15" t="s">
        <v>228</v>
      </c>
    </row>
    <row r="5" customFormat="false" ht="15" hidden="false" customHeight="true" outlineLevel="0" collapsed="false">
      <c r="A5" s="6" t="s">
        <v>229</v>
      </c>
      <c r="B5" s="22" t="n">
        <v>-300742</v>
      </c>
      <c r="C5" s="22" t="n">
        <v>498665</v>
      </c>
      <c r="D5" s="22" t="n">
        <v>481320</v>
      </c>
      <c r="E5" s="34" t="n">
        <f aca="false">'Income Statement'!E27</f>
        <v>610286.111361</v>
      </c>
      <c r="F5" s="34" t="n">
        <f aca="false">'Income Statement'!F27</f>
        <v>858576.057912906</v>
      </c>
      <c r="G5" s="34" t="n">
        <f aca="false">'Income Statement'!G27</f>
        <v>1135527.98069924</v>
      </c>
      <c r="H5" s="34" t="n">
        <f aca="false">'Income Statement'!H27</f>
        <v>1421817.40240127</v>
      </c>
      <c r="I5" s="34" t="n">
        <f aca="false">'Income Statement'!I27</f>
        <v>1767021.56565866</v>
      </c>
    </row>
    <row r="6" customFormat="false" ht="15" hidden="false" customHeight="true" outlineLevel="0" collapsed="false">
      <c r="A6" s="6" t="s">
        <v>230</v>
      </c>
      <c r="B6" s="22" t="n">
        <v>201416</v>
      </c>
      <c r="C6" s="22" t="n">
        <v>203498</v>
      </c>
      <c r="D6" s="22" t="n">
        <v>234151</v>
      </c>
      <c r="E6" s="34" t="n">
        <f aca="false">'Income Statement'!E35</f>
        <v>292817.8983732</v>
      </c>
      <c r="F6" s="34" t="n">
        <f aca="false">'Income Statement'!F35</f>
        <v>350660.792979557</v>
      </c>
      <c r="G6" s="34" t="n">
        <f aca="false">'Income Statement'!G35</f>
        <v>413141.620587989</v>
      </c>
      <c r="H6" s="34" t="n">
        <f aca="false">'Income Statement'!H35</f>
        <v>475441.443910855</v>
      </c>
      <c r="I6" s="34" t="n">
        <f aca="false">'Income Statement'!I35</f>
        <v>537224.29228184</v>
      </c>
    </row>
    <row r="7" customFormat="false" ht="15" hidden="false" customHeight="true" outlineLevel="0" collapsed="false">
      <c r="A7" s="6" t="s">
        <v>231</v>
      </c>
      <c r="B7" s="22" t="n">
        <v>271216</v>
      </c>
      <c r="C7" s="22" t="n">
        <v>246152</v>
      </c>
      <c r="D7" s="22" t="n">
        <v>262058</v>
      </c>
      <c r="E7" s="34" t="n">
        <f aca="false">'Income Statement'!E34</f>
        <v>330600.853002</v>
      </c>
      <c r="F7" s="34" t="n">
        <f aca="false">'Income Statement'!F34</f>
        <v>367628.250704374</v>
      </c>
      <c r="G7" s="34" t="n">
        <f aca="false">'Income Statement'!G34</f>
        <v>399814.471536763</v>
      </c>
      <c r="H7" s="34" t="n">
        <f aca="false">'Income Statement'!H34</f>
        <v>444767.802368219</v>
      </c>
      <c r="I7" s="34" t="n">
        <f aca="false">'Income Statement'!I34</f>
        <v>476569.936701632</v>
      </c>
    </row>
    <row r="8" customFormat="false" ht="15" hidden="false" customHeight="true" outlineLevel="0" collapsed="false">
      <c r="A8" s="6" t="s">
        <v>232</v>
      </c>
      <c r="B8" s="22" t="n">
        <v>-7568079</v>
      </c>
      <c r="C8" s="22" t="n">
        <v>-991697</v>
      </c>
      <c r="D8" s="22" t="n">
        <v>-4396862</v>
      </c>
      <c r="E8" s="21" t="n">
        <f aca="false">-('Balance Sheet'!E8-'Balance Sheet'!D8)</f>
        <v>-4572549.8</v>
      </c>
      <c r="F8" s="21" t="n">
        <f aca="false">-('Balance Sheet'!F8-'Balance Sheet'!E8)</f>
        <v>-4938353.784</v>
      </c>
      <c r="G8" s="21" t="n">
        <f aca="false">-('Balance Sheet'!G8-'Balance Sheet'!F8)</f>
        <v>-4856047.8876</v>
      </c>
      <c r="H8" s="21" t="n">
        <f aca="false">-('Balance Sheet'!H8-'Balance Sheet'!G8)</f>
        <v>-4839861.061308</v>
      </c>
      <c r="I8" s="21" t="n">
        <f aca="false">-('Balance Sheet'!I8-'Balance Sheet'!H8)</f>
        <v>-5048347.38394897</v>
      </c>
      <c r="K8" s="18" t="s">
        <v>233</v>
      </c>
    </row>
    <row r="9" customFormat="false" ht="15" hidden="false" customHeight="true" outlineLevel="0" collapsed="false">
      <c r="A9" s="6" t="s">
        <v>234</v>
      </c>
      <c r="B9" s="22" t="n">
        <v>-31604</v>
      </c>
      <c r="C9" s="22" t="n">
        <v>-161659</v>
      </c>
      <c r="D9" s="22" t="n">
        <v>-36050</v>
      </c>
      <c r="E9" s="21" t="n">
        <f aca="false">-('Balance Sheet'!E11-'Balance Sheet'!D11)</f>
        <v>-22690.68</v>
      </c>
      <c r="F9" s="21" t="n">
        <f aca="false">-('Balance Sheet'!F11-'Balance Sheet'!E11)</f>
        <v>-24052.1208</v>
      </c>
      <c r="G9" s="21" t="n">
        <f aca="false">-('Balance Sheet'!G11-'Balance Sheet'!F11)</f>
        <v>-25495.248048</v>
      </c>
      <c r="H9" s="21" t="n">
        <f aca="false">-('Balance Sheet'!H11-'Balance Sheet'!G11)</f>
        <v>-27024.96293088</v>
      </c>
      <c r="I9" s="21" t="n">
        <f aca="false">-('Balance Sheet'!I11-'Balance Sheet'!H11)</f>
        <v>-28646.4607067328</v>
      </c>
    </row>
    <row r="10" customFormat="false" ht="15" hidden="false" customHeight="true" outlineLevel="0" collapsed="false">
      <c r="A10" s="6" t="s">
        <v>235</v>
      </c>
      <c r="B10" s="22" t="n">
        <v>36582</v>
      </c>
      <c r="C10" s="22" t="n">
        <v>-434898</v>
      </c>
      <c r="D10" s="22" t="n">
        <v>39790</v>
      </c>
      <c r="E10" s="21" t="n">
        <f aca="false">-('Balance Sheet'!E16-'Balance Sheet'!D16)+('Balance Sheet'!E23-'Balance Sheet'!D23)</f>
        <v>-432205.384797</v>
      </c>
      <c r="F10" s="21" t="n">
        <f aca="false">-('Balance Sheet'!F16-'Balance Sheet'!E16)+('Balance Sheet'!F23-'Balance Sheet'!E23)</f>
        <v>-311957.023221214</v>
      </c>
      <c r="G10" s="21" t="n">
        <f aca="false">-('Balance Sheet'!G16-'Balance Sheet'!F16)+('Balance Sheet'!G23-'Balance Sheet'!F23)</f>
        <v>-321350.039086556</v>
      </c>
      <c r="H10" s="21" t="n">
        <f aca="false">-('Balance Sheet'!H16-'Balance Sheet'!G16)+('Balance Sheet'!H23-'Balance Sheet'!G23)</f>
        <v>-300129.343660745</v>
      </c>
      <c r="I10" s="21" t="n">
        <f aca="false">-('Balance Sheet'!I16-'Balance Sheet'!H16)+('Balance Sheet'!I23-'Balance Sheet'!H23)</f>
        <v>-277072.52794502</v>
      </c>
    </row>
    <row r="11" customFormat="false" ht="15" hidden="false" customHeight="true" outlineLevel="0" collapsed="false">
      <c r="A11" s="6" t="s">
        <v>236</v>
      </c>
      <c r="B11" s="22" t="n">
        <v>164072</v>
      </c>
      <c r="C11" s="22" t="n">
        <v>-479868</v>
      </c>
      <c r="D11" s="22" t="n">
        <v>-326865</v>
      </c>
      <c r="E11" s="22" t="n">
        <v>0</v>
      </c>
      <c r="F11" s="22" t="n">
        <v>0</v>
      </c>
      <c r="G11" s="22" t="n">
        <v>0</v>
      </c>
      <c r="H11" s="22" t="n">
        <v>0</v>
      </c>
      <c r="I11" s="22" t="n">
        <v>0</v>
      </c>
      <c r="K11" s="18" t="s">
        <v>237</v>
      </c>
    </row>
    <row r="12" customFormat="false" ht="15" hidden="false" customHeight="true" outlineLevel="0" collapsed="false">
      <c r="A12" s="15" t="s">
        <v>238</v>
      </c>
      <c r="B12" s="28" t="n">
        <f aca="false">SUM(B5:B11)</f>
        <v>-7227139</v>
      </c>
      <c r="C12" s="28" t="n">
        <f aca="false">SUM(C5:C11)</f>
        <v>-1119807</v>
      </c>
      <c r="D12" s="28" t="n">
        <f aca="false">SUM(D5:D11)</f>
        <v>-3742458</v>
      </c>
      <c r="E12" s="28" t="n">
        <f aca="false">SUM(E5:E11)</f>
        <v>-3793741.0020608</v>
      </c>
      <c r="F12" s="28" t="n">
        <f aca="false">SUM(F5:F11)</f>
        <v>-3697497.82642438</v>
      </c>
      <c r="G12" s="28" t="n">
        <f aca="false">SUM(G5:G11)</f>
        <v>-3254409.10191056</v>
      </c>
      <c r="H12" s="28" t="n">
        <f aca="false">SUM(H5:H11)</f>
        <v>-2824988.71921927</v>
      </c>
      <c r="I12" s="28" t="n">
        <f aca="false">SUM(I5:I11)</f>
        <v>-2573250.57795859</v>
      </c>
    </row>
    <row r="14" customFormat="false" ht="15" hidden="false" customHeight="true" outlineLevel="0" collapsed="false">
      <c r="A14" s="15" t="s">
        <v>239</v>
      </c>
    </row>
    <row r="15" customFormat="false" ht="15" hidden="false" customHeight="true" outlineLevel="0" collapsed="false">
      <c r="A15" s="6" t="s">
        <v>240</v>
      </c>
      <c r="B15" s="22" t="n">
        <v>-381045</v>
      </c>
      <c r="C15" s="22" t="n">
        <v>-1197204</v>
      </c>
      <c r="D15" s="22" t="n">
        <v>-596725</v>
      </c>
      <c r="E15" s="21" t="n">
        <f aca="false">-('Balance Sheet'!E7-'Balance Sheet'!D7)</f>
        <v>-643901.75</v>
      </c>
      <c r="F15" s="21" t="n">
        <f aca="false">-('Balance Sheet'!F7-'Balance Sheet'!E7)</f>
        <v>-643901.75</v>
      </c>
      <c r="G15" s="21" t="n">
        <f aca="false">-('Balance Sheet'!G7-'Balance Sheet'!F7)</f>
        <v>-695413.89</v>
      </c>
      <c r="H15" s="21" t="n">
        <f aca="false">-('Balance Sheet'!H7-'Balance Sheet'!G7)</f>
        <v>-683823.6585</v>
      </c>
      <c r="I15" s="21" t="n">
        <f aca="false">-('Balance Sheet'!I7-'Balance Sheet'!H7)</f>
        <v>-629117.76582</v>
      </c>
    </row>
    <row r="16" customFormat="false" ht="15" hidden="false" customHeight="true" outlineLevel="0" collapsed="false">
      <c r="A16" s="6" t="s">
        <v>241</v>
      </c>
      <c r="B16" s="22" t="n">
        <v>-1362418</v>
      </c>
      <c r="C16" s="22" t="n">
        <v>-3505792</v>
      </c>
      <c r="D16" s="22" t="n">
        <v>-5889488</v>
      </c>
      <c r="E16" s="21" t="n">
        <f aca="false">-('Balance Sheet'!E9-'Balance Sheet'!D9)-('Balance Sheet'!E10-'Balance Sheet'!D10)</f>
        <v>-4370285.88</v>
      </c>
      <c r="F16" s="21" t="n">
        <f aca="false">-('Balance Sheet'!F9-'Balance Sheet'!E9)-('Balance Sheet'!F10-'Balance Sheet'!E10)</f>
        <v>-4725072.6068</v>
      </c>
      <c r="G16" s="21" t="n">
        <f aca="false">-('Balance Sheet'!G9-'Balance Sheet'!F9)-('Balance Sheet'!G10-'Balance Sheet'!F10)</f>
        <v>-4750129.08552</v>
      </c>
      <c r="H16" s="21" t="n">
        <f aca="false">-('Balance Sheet'!H9-'Balance Sheet'!G9)-('Balance Sheet'!H10-'Balance Sheet'!G10)</f>
        <v>-5104188.0594016</v>
      </c>
      <c r="I16" s="21" t="n">
        <f aca="false">-('Balance Sheet'!I9-'Balance Sheet'!H9)-('Balance Sheet'!I10-'Balance Sheet'!H10)</f>
        <v>-5037661.36514659</v>
      </c>
    </row>
    <row r="17" customFormat="false" ht="15" hidden="false" customHeight="true" outlineLevel="0" collapsed="false">
      <c r="A17" s="6" t="s">
        <v>242</v>
      </c>
      <c r="B17" s="22" t="n">
        <v>-121192</v>
      </c>
      <c r="C17" s="22" t="n">
        <v>-163617</v>
      </c>
      <c r="D17" s="22" t="n">
        <v>-251117</v>
      </c>
      <c r="E17" s="21" t="n">
        <f aca="false">-'Income Statement'!E15*Assumptions!E27</f>
        <v>-321155.1143448</v>
      </c>
      <c r="F17" s="21" t="n">
        <f aca="false">-'Income Statement'!F15*Assumptions!F27</f>
        <v>-384595.708429191</v>
      </c>
      <c r="G17" s="21" t="n">
        <f aca="false">-'Income Statement'!G15*Assumptions!G27</f>
        <v>-453123.067741665</v>
      </c>
      <c r="H17" s="21" t="n">
        <f aca="false">-'Income Statement'!H15*Assumptions!H27</f>
        <v>-521451.906224809</v>
      </c>
      <c r="I17" s="21" t="n">
        <f aca="false">-'Income Statement'!I15*Assumptions!I27</f>
        <v>-589213.739922018</v>
      </c>
    </row>
    <row r="18" customFormat="false" ht="15" hidden="false" customHeight="true" outlineLevel="0" collapsed="false">
      <c r="A18" s="6" t="s">
        <v>243</v>
      </c>
      <c r="B18" s="22" t="n">
        <v>-25209</v>
      </c>
      <c r="C18" s="22" t="n">
        <v>45623</v>
      </c>
      <c r="D18" s="22" t="n">
        <v>18223</v>
      </c>
      <c r="E18" s="22" t="n">
        <v>0</v>
      </c>
      <c r="F18" s="22" t="n">
        <v>0</v>
      </c>
      <c r="G18" s="22" t="n">
        <v>0</v>
      </c>
      <c r="H18" s="22" t="n">
        <v>0</v>
      </c>
      <c r="I18" s="22" t="n">
        <v>0</v>
      </c>
    </row>
    <row r="19" customFormat="false" ht="15" hidden="false" customHeight="true" outlineLevel="0" collapsed="false">
      <c r="A19" s="15" t="s">
        <v>244</v>
      </c>
      <c r="B19" s="28" t="n">
        <f aca="false">SUM(B15:B18)</f>
        <v>-1889864</v>
      </c>
      <c r="C19" s="28" t="n">
        <f aca="false">SUM(C15:C18)</f>
        <v>-4820990</v>
      </c>
      <c r="D19" s="28" t="n">
        <f aca="false">SUM(D15:D18)</f>
        <v>-6719107</v>
      </c>
      <c r="E19" s="28" t="n">
        <f aca="false">SUM(E15:E18)</f>
        <v>-5335342.7443448</v>
      </c>
      <c r="F19" s="28" t="n">
        <f aca="false">SUM(F15:F18)</f>
        <v>-5753570.06522919</v>
      </c>
      <c r="G19" s="28" t="n">
        <f aca="false">SUM(G15:G18)</f>
        <v>-5898666.04326167</v>
      </c>
      <c r="H19" s="28" t="n">
        <f aca="false">SUM(H15:H18)</f>
        <v>-6309463.62412641</v>
      </c>
      <c r="I19" s="28" t="n">
        <f aca="false">SUM(I15:I18)</f>
        <v>-6255992.87088861</v>
      </c>
    </row>
    <row r="21" customFormat="false" ht="15" hidden="false" customHeight="true" outlineLevel="0" collapsed="false">
      <c r="A21" s="15" t="s">
        <v>245</v>
      </c>
    </row>
    <row r="22" customFormat="false" ht="15" hidden="false" customHeight="true" outlineLevel="0" collapsed="false">
      <c r="A22" s="6" t="s">
        <v>246</v>
      </c>
      <c r="B22" s="22" t="n">
        <v>11231904</v>
      </c>
      <c r="C22" s="22" t="n">
        <v>6954484</v>
      </c>
      <c r="D22" s="22" t="n">
        <v>11248505</v>
      </c>
      <c r="E22" s="21" t="n">
        <f aca="false">('Balance Sheet'!E20-'Balance Sheet'!D20)+('Balance Sheet'!E21-'Balance Sheet'!D21)</f>
        <v>10468458</v>
      </c>
      <c r="F22" s="21" t="n">
        <f aca="false">('Balance Sheet'!F20-'Balance Sheet'!E20)+('Balance Sheet'!F21-'Balance Sheet'!E21)</f>
        <v>11485393.92</v>
      </c>
      <c r="G22" s="21" t="n">
        <f aca="false">('Balance Sheet'!G20-'Balance Sheet'!F20)+('Balance Sheet'!G21-'Balance Sheet'!F21)</f>
        <v>11868240.384</v>
      </c>
      <c r="H22" s="21" t="n">
        <f aca="false">('Balance Sheet'!H20-'Balance Sheet'!G20)+('Balance Sheet'!H21-'Balance Sheet'!G21)</f>
        <v>12105605.19168</v>
      </c>
      <c r="I22" s="21" t="n">
        <f aca="false">('Balance Sheet'!I20-'Balance Sheet'!H20)+('Balance Sheet'!I21-'Balance Sheet'!H21)</f>
        <v>12497257.124352</v>
      </c>
    </row>
    <row r="23" customFormat="false" ht="15" hidden="false" customHeight="true" outlineLevel="0" collapsed="false">
      <c r="A23" s="6" t="s">
        <v>247</v>
      </c>
      <c r="B23" s="22" t="n">
        <v>-291213</v>
      </c>
      <c r="C23" s="22" t="n">
        <v>-1497811</v>
      </c>
      <c r="D23" s="22" t="n">
        <v>-1288928</v>
      </c>
      <c r="E23" s="21" t="n">
        <f aca="false">('Balance Sheet'!E25-'Balance Sheet'!D25)+('Balance Sheet'!E26-'Balance Sheet'!D26)</f>
        <v>-115162</v>
      </c>
      <c r="F23" s="21" t="n">
        <f aca="false">('Balance Sheet'!F25-'Balance Sheet'!E25)+('Balance Sheet'!F26-'Balance Sheet'!E26)</f>
        <v>-100000</v>
      </c>
      <c r="G23" s="21" t="n">
        <f aca="false">('Balance Sheet'!G25-'Balance Sheet'!F25)+('Balance Sheet'!G26-'Balance Sheet'!F26)</f>
        <v>-100000</v>
      </c>
      <c r="H23" s="21" t="n">
        <f aca="false">('Balance Sheet'!H25-'Balance Sheet'!G25)+('Balance Sheet'!H26-'Balance Sheet'!G26)</f>
        <v>-100000</v>
      </c>
      <c r="I23" s="21" t="n">
        <f aca="false">('Balance Sheet'!I25-'Balance Sheet'!H25)+('Balance Sheet'!I26-'Balance Sheet'!H26)</f>
        <v>-100000</v>
      </c>
    </row>
    <row r="24" customFormat="false" ht="15" hidden="false" customHeight="true" outlineLevel="0" collapsed="false">
      <c r="A24" s="6" t="s">
        <v>248</v>
      </c>
      <c r="B24" s="22" t="n">
        <v>0</v>
      </c>
      <c r="C24" s="22" t="n">
        <v>0</v>
      </c>
      <c r="D24" s="22" t="n">
        <v>3182340</v>
      </c>
      <c r="E24" s="22" t="n">
        <v>0</v>
      </c>
      <c r="F24" s="22" t="n">
        <v>0</v>
      </c>
      <c r="G24" s="22" t="n">
        <v>0</v>
      </c>
      <c r="H24" s="22" t="n">
        <v>0</v>
      </c>
      <c r="I24" s="22" t="n">
        <v>0</v>
      </c>
    </row>
    <row r="25" customFormat="false" ht="15" hidden="false" customHeight="true" outlineLevel="0" collapsed="false">
      <c r="A25" s="6" t="s">
        <v>249</v>
      </c>
      <c r="B25" s="22" t="n">
        <v>-55089</v>
      </c>
      <c r="C25" s="22" t="n">
        <v>-422096</v>
      </c>
      <c r="D25" s="22" t="n">
        <v>-32584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0</v>
      </c>
    </row>
    <row r="26" customFormat="false" ht="15" hidden="false" customHeight="true" outlineLevel="0" collapsed="false">
      <c r="A26" s="15" t="s">
        <v>250</v>
      </c>
      <c r="B26" s="28" t="n">
        <f aca="false">SUM(B22:B25)</f>
        <v>10885602</v>
      </c>
      <c r="C26" s="28" t="n">
        <f aca="false">SUM(C22:C25)</f>
        <v>5034577</v>
      </c>
      <c r="D26" s="28" t="n">
        <f aca="false">SUM(D22:D25)</f>
        <v>13109333</v>
      </c>
      <c r="E26" s="28" t="n">
        <f aca="false">SUM(E22:E25)</f>
        <v>10353296</v>
      </c>
      <c r="F26" s="28" t="n">
        <f aca="false">SUM(F22:F25)</f>
        <v>11385393.92</v>
      </c>
      <c r="G26" s="28" t="n">
        <f aca="false">SUM(G22:G25)</f>
        <v>11768240.384</v>
      </c>
      <c r="H26" s="28" t="n">
        <f aca="false">SUM(H22:H25)</f>
        <v>12005605.19168</v>
      </c>
      <c r="I26" s="28" t="n">
        <f aca="false">SUM(I22:I25)</f>
        <v>12397257.124352</v>
      </c>
    </row>
    <row r="28" customFormat="false" ht="15" hidden="false" customHeight="true" outlineLevel="0" collapsed="false">
      <c r="A28" s="6" t="s">
        <v>251</v>
      </c>
      <c r="B28" s="22" t="n">
        <v>677</v>
      </c>
      <c r="C28" s="22" t="n">
        <v>2</v>
      </c>
      <c r="D28" s="22" t="n">
        <v>-355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0</v>
      </c>
    </row>
    <row r="29" customFormat="false" ht="15" hidden="false" customHeight="true" outlineLevel="0" collapsed="false">
      <c r="A29" s="15" t="s">
        <v>252</v>
      </c>
      <c r="B29" s="28" t="n">
        <f aca="false">B12+B19+B26+B28</f>
        <v>1769276</v>
      </c>
      <c r="C29" s="28" t="n">
        <f aca="false">C12+C19+C26+C28</f>
        <v>-906218</v>
      </c>
      <c r="D29" s="28" t="n">
        <f aca="false">D12+D19+D26+D28</f>
        <v>2647413</v>
      </c>
      <c r="E29" s="28" t="n">
        <f aca="false">E12+E19+E26+E28</f>
        <v>1224212.2535944</v>
      </c>
      <c r="F29" s="28" t="n">
        <f aca="false">F12+F19+F26+F28</f>
        <v>1934326.02834643</v>
      </c>
      <c r="G29" s="28" t="n">
        <f aca="false">G12+G19+G26+G28</f>
        <v>2615165.23882778</v>
      </c>
      <c r="H29" s="28" t="n">
        <f aca="false">H12+H19+H26+H28</f>
        <v>2871152.84833432</v>
      </c>
      <c r="I29" s="28" t="n">
        <f aca="false">I12+I19+I26+I28</f>
        <v>3568013.6755048</v>
      </c>
    </row>
    <row r="30" customFormat="false" ht="15" hidden="false" customHeight="true" outlineLevel="0" collapsed="false">
      <c r="A30" s="6" t="s">
        <v>253</v>
      </c>
      <c r="B30" s="22" t="n">
        <v>1846302</v>
      </c>
      <c r="C30" s="22" t="n">
        <v>3615578</v>
      </c>
      <c r="D30" s="22" t="n">
        <v>2709360</v>
      </c>
      <c r="E30" s="21" t="n">
        <f aca="false">D33</f>
        <v>4929452</v>
      </c>
      <c r="F30" s="21" t="n">
        <f aca="false">E33</f>
        <v>6153664.2535944</v>
      </c>
      <c r="G30" s="21" t="n">
        <f aca="false">F33</f>
        <v>8087990.28194083</v>
      </c>
      <c r="H30" s="21" t="n">
        <f aca="false">G33</f>
        <v>10703155.5207686</v>
      </c>
      <c r="I30" s="21" t="n">
        <f aca="false">H33</f>
        <v>13574308.3691029</v>
      </c>
    </row>
    <row r="31" customFormat="false" ht="15" hidden="false" customHeight="true" outlineLevel="0" collapsed="false">
      <c r="A31" s="15" t="s">
        <v>254</v>
      </c>
      <c r="B31" s="33" t="n">
        <f aca="false">B30+B29</f>
        <v>3615578</v>
      </c>
      <c r="C31" s="33" t="n">
        <f aca="false">C30+C29</f>
        <v>2709360</v>
      </c>
      <c r="D31" s="33" t="n">
        <f aca="false">D30+D29</f>
        <v>5356773</v>
      </c>
      <c r="E31" s="33" t="n">
        <f aca="false">E30+E29</f>
        <v>6153664.2535944</v>
      </c>
      <c r="F31" s="33" t="n">
        <f aca="false">F30+F29</f>
        <v>8087990.28194083</v>
      </c>
      <c r="G31" s="33" t="n">
        <f aca="false">G30+G29</f>
        <v>10703155.5207686</v>
      </c>
      <c r="H31" s="33" t="n">
        <f aca="false">H30+H29</f>
        <v>13574308.3691029</v>
      </c>
      <c r="I31" s="33" t="n">
        <f aca="false">I30+I29</f>
        <v>17142322.0446077</v>
      </c>
    </row>
    <row r="32" customFormat="false" ht="15" hidden="false" customHeight="true" outlineLevel="0" collapsed="false">
      <c r="A32" s="6" t="s">
        <v>255</v>
      </c>
      <c r="B32" s="34" t="n">
        <f aca="false">'Balance Sheet'!B6</f>
        <v>530558</v>
      </c>
      <c r="C32" s="34" t="n">
        <f aca="false">'Balance Sheet'!C6</f>
        <v>171067</v>
      </c>
      <c r="D32" s="34" t="n">
        <f aca="false">'Balance Sheet'!D6</f>
        <v>427321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</row>
    <row r="33" customFormat="false" ht="15" hidden="false" customHeight="true" outlineLevel="0" collapsed="false">
      <c r="A33" s="15" t="s">
        <v>256</v>
      </c>
      <c r="B33" s="35" t="n">
        <f aca="false">B31-B32</f>
        <v>3085020</v>
      </c>
      <c r="C33" s="35" t="n">
        <f aca="false">C31-C32</f>
        <v>2538293</v>
      </c>
      <c r="D33" s="35" t="n">
        <f aca="false">D31-D32</f>
        <v>4929452</v>
      </c>
      <c r="E33" s="35" t="n">
        <f aca="false">E31-E32</f>
        <v>6153664.2535944</v>
      </c>
      <c r="F33" s="35" t="n">
        <f aca="false">F31-F32</f>
        <v>8087990.28194083</v>
      </c>
      <c r="G33" s="35" t="n">
        <f aca="false">G31-G32</f>
        <v>10703155.5207686</v>
      </c>
      <c r="H33" s="35" t="n">
        <f aca="false">H31-H32</f>
        <v>13574308.3691029</v>
      </c>
      <c r="I33" s="35" t="n">
        <f aca="false">I31-I32</f>
        <v>17142322.0446077</v>
      </c>
      <c r="K33" s="18" t="s">
        <v>257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46"/>
    <col collapsed="false" customWidth="true" hidden="false" outlineLevel="0" max="6" min="4" style="1" width="14"/>
    <col collapsed="false" customWidth="true" hidden="false" outlineLevel="0" max="7" min="7" style="1" width="13"/>
    <col collapsed="false" customWidth="true" hidden="false" outlineLevel="0" max="8" min="8" style="1" width="10"/>
    <col collapsed="false" customWidth="true" hidden="false" outlineLevel="0" max="9" min="9" style="1" width="12"/>
  </cols>
  <sheetData>
    <row r="1" customFormat="false" ht="15" hidden="false" customHeight="true" outlineLevel="0" collapsed="false">
      <c r="A1" s="12" t="s">
        <v>258</v>
      </c>
    </row>
    <row r="2" customFormat="false" ht="15" hidden="false" customHeight="true" outlineLevel="0" collapsed="false">
      <c r="A2" s="11" t="s">
        <v>259</v>
      </c>
    </row>
    <row r="4" customFormat="false" ht="15" hidden="false" customHeight="true" outlineLevel="0" collapsed="false">
      <c r="A4" s="6" t="s">
        <v>260</v>
      </c>
      <c r="B4" s="17" t="n">
        <v>0.1</v>
      </c>
    </row>
    <row r="6" customFormat="false" ht="15" hidden="false" customHeight="true" outlineLevel="0" collapsed="false">
      <c r="A6" s="43" t="s">
        <v>261</v>
      </c>
      <c r="B6" s="14" t="s">
        <v>262</v>
      </c>
      <c r="C6" s="14" t="s">
        <v>263</v>
      </c>
      <c r="D6" s="14" t="s">
        <v>264</v>
      </c>
      <c r="E6" s="14" t="s">
        <v>265</v>
      </c>
      <c r="F6" s="14" t="s">
        <v>266</v>
      </c>
      <c r="G6" s="14" t="s">
        <v>267</v>
      </c>
      <c r="H6" s="14" t="s">
        <v>268</v>
      </c>
      <c r="I6" s="14" t="s">
        <v>269</v>
      </c>
    </row>
    <row r="7" customFormat="false" ht="15" hidden="false" customHeight="true" outlineLevel="0" collapsed="false">
      <c r="A7" s="6" t="s">
        <v>270</v>
      </c>
      <c r="B7" s="22" t="n">
        <v>3300000</v>
      </c>
      <c r="C7" s="18" t="s">
        <v>271</v>
      </c>
      <c r="D7" s="44"/>
      <c r="E7" s="21" t="n">
        <f aca="false">IF(D7="",B7,D7)</f>
        <v>3300000</v>
      </c>
      <c r="F7" s="34" t="n">
        <f aca="false">'Income Statement'!D15</f>
        <v>3613354</v>
      </c>
      <c r="G7" s="21" t="n">
        <f aca="false">F7-E7</f>
        <v>313354</v>
      </c>
      <c r="H7" s="16" t="n">
        <f aca="false">IF(E7=0,"",G7/E7)</f>
        <v>0.0949557575757576</v>
      </c>
      <c r="I7" s="45" t="str">
        <f aca="false">IF(H7="","",IF(ABS(H7)&gt;$B$4,"⚠ REVIEW","OK"))</f>
        <v>OK</v>
      </c>
    </row>
    <row r="8" customFormat="false" ht="15" hidden="false" customHeight="true" outlineLevel="0" collapsed="false">
      <c r="A8" s="6" t="s">
        <v>272</v>
      </c>
      <c r="B8" s="22" t="n">
        <v>3237500</v>
      </c>
      <c r="C8" s="18" t="s">
        <v>273</v>
      </c>
      <c r="D8" s="44"/>
      <c r="E8" s="21" t="n">
        <f aca="false">IF(D8="",B8,D8)</f>
        <v>3237500</v>
      </c>
      <c r="F8" s="22" t="n">
        <v>3591411</v>
      </c>
      <c r="G8" s="21" t="n">
        <f aca="false">F8-E8</f>
        <v>353911</v>
      </c>
      <c r="H8" s="16" t="n">
        <f aca="false">IF(E8=0,"",G8/E8)</f>
        <v>0.109316138996139</v>
      </c>
      <c r="I8" s="45" t="str">
        <f aca="false">IF(H8="","",IF(ABS(H8)&gt;$B$4,"⚠ REVIEW","OK"))</f>
        <v>⚠ REVIEW</v>
      </c>
    </row>
    <row r="9" customFormat="false" ht="15" hidden="false" customHeight="true" outlineLevel="0" collapsed="false">
      <c r="A9" s="6" t="s">
        <v>165</v>
      </c>
      <c r="B9" s="22" t="n">
        <v>2050000</v>
      </c>
      <c r="C9" s="18" t="s">
        <v>271</v>
      </c>
      <c r="D9" s="44"/>
      <c r="E9" s="21" t="n">
        <f aca="false">IF(D9="",B9,D9)</f>
        <v>2050000</v>
      </c>
      <c r="F9" s="34" t="n">
        <f aca="false">'Income Statement'!D7</f>
        <v>2218956</v>
      </c>
      <c r="G9" s="21" t="n">
        <f aca="false">F9-E9</f>
        <v>168956</v>
      </c>
      <c r="H9" s="16" t="n">
        <f aca="false">IF(E9=0,"",G9/E9)</f>
        <v>0.0824175609756098</v>
      </c>
      <c r="I9" s="45" t="str">
        <f aca="false">IF(H9="","",IF(ABS(H9)&gt;$B$4,"⚠ REVIEW","OK"))</f>
        <v>OK</v>
      </c>
    </row>
    <row r="10" customFormat="false" ht="15" hidden="false" customHeight="true" outlineLevel="0" collapsed="false">
      <c r="A10" s="6" t="s">
        <v>180</v>
      </c>
      <c r="B10" s="22" t="n">
        <v>2950000</v>
      </c>
      <c r="C10" s="18" t="s">
        <v>271</v>
      </c>
      <c r="D10" s="44"/>
      <c r="E10" s="21" t="n">
        <f aca="false">IF(D10="",B10,D10)</f>
        <v>2950000</v>
      </c>
      <c r="F10" s="34" t="n">
        <f aca="false">'Income Statement'!D24</f>
        <v>3057178</v>
      </c>
      <c r="G10" s="21" t="n">
        <f aca="false">F10-E10</f>
        <v>107178</v>
      </c>
      <c r="H10" s="16" t="n">
        <f aca="false">IF(E10=0,"",G10/E10)</f>
        <v>0.0363315254237288</v>
      </c>
      <c r="I10" s="45" t="str">
        <f aca="false">IF(H10="","",IF(ABS(H10)&gt;$B$4,"⚠ REVIEW","OK"))</f>
        <v>OK</v>
      </c>
    </row>
    <row r="11" customFormat="false" ht="15" hidden="false" customHeight="true" outlineLevel="0" collapsed="false">
      <c r="A11" s="6" t="s">
        <v>274</v>
      </c>
      <c r="B11" s="22" t="n">
        <v>855000</v>
      </c>
      <c r="C11" s="18" t="s">
        <v>275</v>
      </c>
      <c r="D11" s="44"/>
      <c r="E11" s="21" t="n">
        <f aca="false">IF(D11="",B11,D11)</f>
        <v>855000</v>
      </c>
      <c r="F11" s="22" t="n">
        <v>1053898</v>
      </c>
      <c r="G11" s="21" t="n">
        <f aca="false">F11-E11</f>
        <v>198898</v>
      </c>
      <c r="H11" s="16" t="n">
        <f aca="false">IF(E11=0,"",G11/E11)</f>
        <v>0.232629239766082</v>
      </c>
      <c r="I11" s="45" t="str">
        <f aca="false">IF(H11="","",IF(ABS(H11)&gt;$B$4,"⚠ REVIEW","OK"))</f>
        <v>⚠ REVIEW</v>
      </c>
    </row>
    <row r="12" customFormat="false" ht="15" hidden="false" customHeight="true" outlineLevel="0" collapsed="false">
      <c r="A12" s="6" t="s">
        <v>276</v>
      </c>
      <c r="B12" s="22" t="n">
        <v>295000</v>
      </c>
      <c r="C12" s="18" t="s">
        <v>277</v>
      </c>
      <c r="D12" s="44"/>
      <c r="E12" s="21" t="n">
        <f aca="false">IF(D12="",B12,D12)</f>
        <v>295000</v>
      </c>
      <c r="F12" s="34" t="n">
        <f aca="false">'Income Statement'!D27</f>
        <v>481320</v>
      </c>
      <c r="G12" s="21" t="n">
        <f aca="false">F12-E12</f>
        <v>186320</v>
      </c>
      <c r="H12" s="16" t="n">
        <f aca="false">IF(E12=0,"",G12/E12)</f>
        <v>0.631593220338983</v>
      </c>
      <c r="I12" s="45" t="str">
        <f aca="false">IF(H12="","",IF(ABS(H12)&gt;$B$4,"⚠ REVIEW","OK"))</f>
        <v>⚠ REVIEW</v>
      </c>
    </row>
    <row r="13" customFormat="false" ht="15" hidden="false" customHeight="true" outlineLevel="0" collapsed="false">
      <c r="A13" s="6" t="s">
        <v>278</v>
      </c>
      <c r="B13" s="41" t="n">
        <v>0.26</v>
      </c>
      <c r="C13" s="18" t="s">
        <v>279</v>
      </c>
      <c r="D13" s="46"/>
      <c r="E13" s="47" t="n">
        <f aca="false">IF(D13="",B13,D13)</f>
        <v>0.26</v>
      </c>
      <c r="F13" s="41" t="n">
        <v>0.39</v>
      </c>
      <c r="G13" s="47" t="n">
        <f aca="false">F13-E13</f>
        <v>0.13</v>
      </c>
      <c r="H13" s="16" t="n">
        <f aca="false">IF(E13=0,"",G13/E13)</f>
        <v>0.5</v>
      </c>
      <c r="I13" s="45" t="str">
        <f aca="false">IF(H13="","",IF(ABS(H13)&gt;$B$4,"⚠ REVIEW","OK"))</f>
        <v>⚠ REVIEW</v>
      </c>
    </row>
    <row r="15" customFormat="false" ht="15" hidden="false" customHeight="true" outlineLevel="0" collapsed="false">
      <c r="A15" s="48" t="s">
        <v>280</v>
      </c>
    </row>
    <row r="16" customFormat="false" ht="15" hidden="false" customHeight="true" outlineLevel="0" collapsed="false">
      <c r="A16" s="18" t="s">
        <v>281</v>
      </c>
    </row>
    <row r="17" customFormat="false" ht="15" hidden="false" customHeight="true" outlineLevel="0" collapsed="false">
      <c r="A17" s="18" t="s">
        <v>282</v>
      </c>
    </row>
    <row r="18" customFormat="false" ht="15" hidden="false" customHeight="true" outlineLevel="0" collapsed="false">
      <c r="A18" s="18" t="s">
        <v>283</v>
      </c>
    </row>
    <row r="19" customFormat="false" ht="15" hidden="false" customHeight="true" outlineLevel="0" collapsed="false">
      <c r="A19" s="18" t="s">
        <v>284</v>
      </c>
    </row>
  </sheetData>
  <sheetProtection sheet="true" password="824d"/>
  <conditionalFormatting sqref="A7:I13">
    <cfRule type="expression" priority="2" aboveAverage="0" equalAverage="0" bottom="0" percent="0" rank="0" text="" dxfId="0">
      <formula>ABS($H7)&gt;$B$4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4"/>
    <col collapsed="false" customWidth="true" hidden="false" outlineLevel="0" max="5" min="5" style="1" width="2"/>
    <col collapsed="false" customWidth="true" hidden="false" outlineLevel="0" max="6" min="6" style="1" width="62"/>
  </cols>
  <sheetData>
    <row r="1" customFormat="false" ht="15" hidden="false" customHeight="true" outlineLevel="0" collapsed="false">
      <c r="A1" s="12" t="s">
        <v>285</v>
      </c>
    </row>
    <row r="2" customFormat="false" ht="15" hidden="false" customHeight="true" outlineLevel="0" collapsed="false">
      <c r="A2" s="11" t="s">
        <v>286</v>
      </c>
    </row>
    <row r="4" customFormat="false" ht="15" hidden="false" customHeight="true" outlineLevel="0" collapsed="false">
      <c r="A4" s="6" t="s">
        <v>287</v>
      </c>
      <c r="B4" s="49" t="s">
        <v>288</v>
      </c>
      <c r="C4" s="6" t="s">
        <v>289</v>
      </c>
      <c r="D4" s="50" t="s">
        <v>290</v>
      </c>
    </row>
    <row r="6" customFormat="false" ht="15" hidden="false" customHeight="true" outlineLevel="0" collapsed="false">
      <c r="A6" s="15" t="s">
        <v>291</v>
      </c>
    </row>
    <row r="7" customFormat="false" ht="15" hidden="false" customHeight="true" outlineLevel="0" collapsed="false">
      <c r="A7" s="6" t="s">
        <v>292</v>
      </c>
      <c r="B7" s="19" t="n">
        <v>0.0375</v>
      </c>
      <c r="F7" s="18" t="s">
        <v>293</v>
      </c>
    </row>
    <row r="8" customFormat="false" ht="15" hidden="false" customHeight="true" outlineLevel="0" collapsed="false">
      <c r="A8" s="6" t="s">
        <v>294</v>
      </c>
      <c r="B8" s="19" t="n">
        <v>0.0364</v>
      </c>
      <c r="F8" s="18" t="s">
        <v>295</v>
      </c>
    </row>
    <row r="9" customFormat="false" ht="15" hidden="false" customHeight="true" outlineLevel="0" collapsed="false">
      <c r="A9" s="6" t="s">
        <v>296</v>
      </c>
      <c r="B9" s="19" t="n">
        <v>0.0384</v>
      </c>
      <c r="F9" s="18" t="s">
        <v>297</v>
      </c>
    </row>
    <row r="10" customFormat="false" ht="15" hidden="false" customHeight="true" outlineLevel="0" collapsed="false">
      <c r="A10" s="6" t="s">
        <v>298</v>
      </c>
      <c r="B10" s="19" t="n">
        <v>0.0418</v>
      </c>
      <c r="F10" s="18" t="s">
        <v>299</v>
      </c>
    </row>
    <row r="11" customFormat="false" ht="15" hidden="false" customHeight="true" outlineLevel="0" collapsed="false">
      <c r="A11" s="6" t="s">
        <v>300</v>
      </c>
      <c r="B11" s="19" t="n">
        <v>0.0455</v>
      </c>
      <c r="F11" s="18" t="s">
        <v>299</v>
      </c>
    </row>
    <row r="12" customFormat="false" ht="15" hidden="false" customHeight="true" outlineLevel="0" collapsed="false">
      <c r="A12" s="6" t="s">
        <v>301</v>
      </c>
      <c r="B12" s="19" t="n">
        <v>0.0506</v>
      </c>
      <c r="F12" s="18" t="s">
        <v>299</v>
      </c>
    </row>
    <row r="14" customFormat="false" ht="15" hidden="false" customHeight="true" outlineLevel="0" collapsed="false">
      <c r="A14" s="15" t="s">
        <v>302</v>
      </c>
    </row>
    <row r="15" customFormat="false" ht="15" hidden="false" customHeight="true" outlineLevel="0" collapsed="false">
      <c r="A15" s="51"/>
      <c r="B15" s="51" t="s">
        <v>303</v>
      </c>
      <c r="C15" s="51" t="s">
        <v>304</v>
      </c>
      <c r="D15" s="51" t="s">
        <v>305</v>
      </c>
    </row>
    <row r="16" customFormat="false" ht="15" hidden="false" customHeight="true" outlineLevel="0" collapsed="false">
      <c r="A16" s="6" t="s">
        <v>306</v>
      </c>
      <c r="B16" s="52" t="n">
        <v>132.38</v>
      </c>
      <c r="C16" s="52" t="n">
        <v>224.26</v>
      </c>
      <c r="D16" s="52" t="n">
        <v>17.28</v>
      </c>
    </row>
    <row r="17" customFormat="false" ht="15" hidden="false" customHeight="true" outlineLevel="0" collapsed="false">
      <c r="A17" s="6" t="s">
        <v>307</v>
      </c>
      <c r="B17" s="22" t="n">
        <v>317400</v>
      </c>
      <c r="C17" s="22" t="n">
        <v>11490</v>
      </c>
      <c r="D17" s="22" t="n">
        <v>22170</v>
      </c>
    </row>
    <row r="18" customFormat="false" ht="15" hidden="false" customHeight="true" outlineLevel="0" collapsed="false">
      <c r="A18" s="6" t="s">
        <v>308</v>
      </c>
      <c r="B18" s="22" t="n">
        <v>309500</v>
      </c>
      <c r="C18" s="22" t="n">
        <v>10040</v>
      </c>
      <c r="D18" s="22" t="n">
        <v>20520</v>
      </c>
    </row>
    <row r="19" customFormat="false" ht="15" hidden="false" customHeight="true" outlineLevel="0" collapsed="false">
      <c r="A19" s="6" t="s">
        <v>309</v>
      </c>
      <c r="B19" s="53" t="n">
        <v>148.8</v>
      </c>
      <c r="C19" s="53" t="n">
        <v>119.2</v>
      </c>
      <c r="D19" s="53" t="n">
        <v>38.8</v>
      </c>
    </row>
    <row r="20" customFormat="false" ht="15" hidden="false" customHeight="true" outlineLevel="0" collapsed="false">
      <c r="A20" s="6" t="s">
        <v>310</v>
      </c>
      <c r="B20" s="53" t="n">
        <v>83.3</v>
      </c>
      <c r="C20" s="53" t="n">
        <v>16.4</v>
      </c>
      <c r="D20" s="53" t="n">
        <v>26.4</v>
      </c>
    </row>
    <row r="21" customFormat="false" ht="15" hidden="false" customHeight="true" outlineLevel="0" collapsed="false">
      <c r="A21" s="6" t="s">
        <v>311</v>
      </c>
      <c r="B21" s="53" t="n">
        <v>59.3</v>
      </c>
      <c r="C21" s="53" t="n">
        <v>3</v>
      </c>
      <c r="D21" s="53" t="n">
        <v>5.2</v>
      </c>
    </row>
    <row r="22" customFormat="false" ht="15" hidden="false" customHeight="true" outlineLevel="0" collapsed="false">
      <c r="A22" s="6" t="s">
        <v>312</v>
      </c>
      <c r="B22" s="22" t="n">
        <v>5220</v>
      </c>
      <c r="C22" s="22" t="n">
        <v>3300</v>
      </c>
      <c r="D22" s="22" t="n">
        <v>3910</v>
      </c>
    </row>
    <row r="24" customFormat="false" ht="15" hidden="false" customHeight="true" outlineLevel="0" collapsed="false">
      <c r="A24" s="15" t="s">
        <v>313</v>
      </c>
    </row>
    <row r="25" customFormat="false" ht="15" hidden="false" customHeight="true" outlineLevel="0" collapsed="false">
      <c r="A25" s="6" t="s">
        <v>314</v>
      </c>
      <c r="B25" s="54" t="n">
        <f aca="false">D21</f>
        <v>5.2</v>
      </c>
      <c r="F25" s="18" t="s">
        <v>315</v>
      </c>
    </row>
    <row r="26" customFormat="false" ht="15" hidden="false" customHeight="true" outlineLevel="0" collapsed="false">
      <c r="A26" s="6" t="s">
        <v>316</v>
      </c>
      <c r="B26" s="34" t="n">
        <f aca="false">'Income Statement'!E15</f>
        <v>4722869.3286</v>
      </c>
    </row>
    <row r="27" customFormat="false" ht="15" hidden="false" customHeight="true" outlineLevel="0" collapsed="false">
      <c r="A27" s="6" t="s">
        <v>317</v>
      </c>
      <c r="B27" s="28" t="n">
        <f aca="false">B25*B26/1000</f>
        <v>24558.92050872</v>
      </c>
    </row>
    <row r="28" customFormat="false" ht="15" hidden="false" customHeight="true" outlineLevel="0" collapsed="false">
      <c r="A28" s="6" t="s">
        <v>318</v>
      </c>
      <c r="B28" s="21" t="n">
        <f aca="false">D18</f>
        <v>20520</v>
      </c>
    </row>
    <row r="29" customFormat="false" ht="15" hidden="false" customHeight="true" outlineLevel="0" collapsed="false">
      <c r="A29" s="6" t="s">
        <v>319</v>
      </c>
      <c r="B29" s="38" t="n">
        <f aca="false">B27/B28-1</f>
        <v>0.196828484830409</v>
      </c>
    </row>
    <row r="31" customFormat="false" ht="15" hidden="false" customHeight="true" outlineLevel="0" collapsed="false">
      <c r="A31" s="6" t="s">
        <v>320</v>
      </c>
      <c r="B31" s="54" t="n">
        <f aca="false">D20</f>
        <v>26.4</v>
      </c>
      <c r="F31" s="18" t="s">
        <v>315</v>
      </c>
    </row>
    <row r="32" customFormat="false" ht="15" hidden="false" customHeight="true" outlineLevel="0" collapsed="false">
      <c r="A32" s="6" t="s">
        <v>321</v>
      </c>
      <c r="B32" s="34" t="n">
        <f aca="false">'Income Statement'!E29</f>
        <v>610286.111361</v>
      </c>
    </row>
    <row r="33" customFormat="false" ht="15" hidden="false" customHeight="true" outlineLevel="0" collapsed="false">
      <c r="A33" s="6" t="s">
        <v>322</v>
      </c>
      <c r="B33" s="28" t="n">
        <f aca="false">B31*B32/1000</f>
        <v>16111.5533399304</v>
      </c>
    </row>
    <row r="34" customFormat="false" ht="15" hidden="false" customHeight="true" outlineLevel="0" collapsed="false">
      <c r="A34" s="6" t="s">
        <v>323</v>
      </c>
      <c r="B34" s="21" t="n">
        <f aca="false">D17</f>
        <v>22170</v>
      </c>
    </row>
    <row r="35" customFormat="false" ht="15" hidden="false" customHeight="true" outlineLevel="0" collapsed="false">
      <c r="A35" s="6" t="s">
        <v>324</v>
      </c>
      <c r="B35" s="38" t="n">
        <f aca="false">B33/B34-1</f>
        <v>-0.273272289583653</v>
      </c>
    </row>
    <row r="37" customFormat="false" ht="15" hidden="false" customHeight="true" outlineLevel="0" collapsed="false">
      <c r="A37" s="15" t="s">
        <v>325</v>
      </c>
    </row>
    <row r="38" customFormat="false" ht="15" hidden="false" customHeight="true" outlineLevel="0" collapsed="false">
      <c r="A38" s="18" t="s">
        <v>326</v>
      </c>
    </row>
    <row r="39" customFormat="false" ht="15" hidden="false" customHeight="true" outlineLevel="0" collapsed="false">
      <c r="A39" s="18" t="s">
        <v>327</v>
      </c>
    </row>
    <row r="40" customFormat="false" ht="15" hidden="false" customHeight="true" outlineLevel="0" collapsed="false">
      <c r="A40" s="18" t="s">
        <v>328</v>
      </c>
    </row>
    <row r="41" customFormat="false" ht="15" hidden="false" customHeight="true" outlineLevel="0" collapsed="false">
      <c r="A41" s="18" t="s">
        <v>329</v>
      </c>
    </row>
    <row r="42" customFormat="false" ht="15" hidden="false" customHeight="true" outlineLevel="0" collapsed="false">
      <c r="A42" s="18" t="s">
        <v>330</v>
      </c>
    </row>
    <row r="43" customFormat="false" ht="15" hidden="false" customHeight="true" outlineLevel="0" collapsed="false">
      <c r="A43" s="18" t="s">
        <v>331</v>
      </c>
    </row>
    <row r="44" customFormat="false" ht="15" hidden="false" customHeight="true" outlineLevel="0" collapsed="false">
      <c r="A44" s="18" t="s">
        <v>332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14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2"/>
    <col collapsed="false" customWidth="true" hidden="false" outlineLevel="0" max="8" min="8" style="1" width="78"/>
  </cols>
  <sheetData>
    <row r="1" customFormat="false" ht="15" hidden="false" customHeight="true" outlineLevel="0" collapsed="false">
      <c r="A1" s="12" t="s">
        <v>333</v>
      </c>
    </row>
    <row r="2" customFormat="false" ht="15" hidden="false" customHeight="true" outlineLevel="0" collapsed="false">
      <c r="A2" s="11" t="s">
        <v>334</v>
      </c>
    </row>
    <row r="4" customFormat="false" ht="21.75" hidden="false" customHeight="true" outlineLevel="0" collapsed="false">
      <c r="A4" s="55" t="s">
        <v>261</v>
      </c>
      <c r="B4" s="56" t="s">
        <v>335</v>
      </c>
      <c r="C4" s="56" t="s">
        <v>336</v>
      </c>
      <c r="D4" s="56" t="s">
        <v>337</v>
      </c>
      <c r="E4" s="56" t="s">
        <v>338</v>
      </c>
      <c r="F4" s="56" t="s">
        <v>339</v>
      </c>
      <c r="G4" s="56"/>
      <c r="H4" s="55" t="s">
        <v>340</v>
      </c>
    </row>
    <row r="5" customFormat="false" ht="24" hidden="false" customHeight="true" outlineLevel="0" collapsed="false">
      <c r="A5" s="8" t="s">
        <v>341</v>
      </c>
      <c r="B5" s="27" t="n">
        <f aca="false">'Income Statement'!D15/1000</f>
        <v>3613.354</v>
      </c>
      <c r="C5" s="22" t="n">
        <v>16300</v>
      </c>
      <c r="D5" s="22" t="n">
        <v>999</v>
      </c>
      <c r="E5" s="21" t="n">
        <f aca="false">MEDIAN(B5:D5)</f>
        <v>3613.354</v>
      </c>
      <c r="F5" s="57" t="s">
        <v>342</v>
      </c>
      <c r="H5" s="58" t="s">
        <v>343</v>
      </c>
    </row>
    <row r="6" customFormat="false" ht="24" hidden="false" customHeight="true" outlineLevel="0" collapsed="false">
      <c r="A6" s="8" t="s">
        <v>344</v>
      </c>
      <c r="B6" s="59" t="n">
        <f aca="false">'Income Statement'!D15/'Income Statement'!C15-1</f>
        <v>0.350857746146619</v>
      </c>
      <c r="C6" s="19" t="n">
        <v>0.45</v>
      </c>
      <c r="D6" s="19" t="n">
        <v>0.27</v>
      </c>
      <c r="E6" s="16" t="n">
        <f aca="false">MEDIAN(B6:D6)</f>
        <v>0.350857746146619</v>
      </c>
      <c r="F6" s="60" t="s">
        <v>345</v>
      </c>
      <c r="H6" s="58" t="s">
        <v>346</v>
      </c>
    </row>
    <row r="7" customFormat="false" ht="24" hidden="false" customHeight="true" outlineLevel="0" collapsed="false">
      <c r="A7" s="8" t="s">
        <v>347</v>
      </c>
      <c r="B7" s="59" t="n">
        <f aca="false">'Income Statement'!E15/'Income Statement'!D15-1</f>
        <v>0.307059681559017</v>
      </c>
      <c r="C7" s="61" t="s">
        <v>348</v>
      </c>
      <c r="D7" s="61" t="s">
        <v>348</v>
      </c>
      <c r="F7" s="57" t="s">
        <v>342</v>
      </c>
      <c r="H7" s="58" t="s">
        <v>349</v>
      </c>
    </row>
    <row r="8" customFormat="false" ht="24" hidden="false" customHeight="true" outlineLevel="0" collapsed="false">
      <c r="A8" s="8" t="s">
        <v>350</v>
      </c>
      <c r="B8" s="59" t="n">
        <f aca="false">'Income Statement'!D27/'Income Statement'!D15</f>
        <v>0.13320588018777</v>
      </c>
      <c r="C8" s="19" t="n">
        <v>0.178</v>
      </c>
      <c r="D8" s="19" t="n">
        <v>0.136</v>
      </c>
      <c r="E8" s="16" t="n">
        <f aca="false">MEDIAN(B8:D8)</f>
        <v>0.136</v>
      </c>
      <c r="F8" s="60" t="s">
        <v>351</v>
      </c>
      <c r="H8" s="58" t="s">
        <v>352</v>
      </c>
    </row>
    <row r="9" customFormat="false" ht="24" hidden="false" customHeight="true" outlineLevel="0" collapsed="false">
      <c r="A9" s="8" t="s">
        <v>353</v>
      </c>
      <c r="B9" s="59" t="n">
        <f aca="false">'Income Statement'!D27/(('Balance Sheet'!C35+'Balance Sheet'!D35)/2)</f>
        <v>0.0565771960117379</v>
      </c>
      <c r="C9" s="19" t="n">
        <v>0.301</v>
      </c>
      <c r="D9" s="19" t="n">
        <v>0.095</v>
      </c>
      <c r="E9" s="16" t="n">
        <f aca="false">MEDIAN(B9:D9)</f>
        <v>0.095</v>
      </c>
      <c r="F9" s="60" t="s">
        <v>354</v>
      </c>
      <c r="H9" s="58" t="s">
        <v>355</v>
      </c>
    </row>
    <row r="10" customFormat="false" ht="24" hidden="false" customHeight="true" outlineLevel="0" collapsed="false">
      <c r="A10" s="8" t="s">
        <v>310</v>
      </c>
      <c r="B10" s="62" t="n">
        <f aca="false">'Market Inputs'!D20</f>
        <v>26.4</v>
      </c>
      <c r="C10" s="53" t="n">
        <v>15.3</v>
      </c>
      <c r="D10" s="53" t="n">
        <v>10.7</v>
      </c>
      <c r="E10" s="63" t="n">
        <f aca="false">MEDIAN(B10:D10)</f>
        <v>15.3</v>
      </c>
      <c r="F10" s="60" t="s">
        <v>356</v>
      </c>
      <c r="H10" s="58" t="s">
        <v>357</v>
      </c>
    </row>
    <row r="11" customFormat="false" ht="24" hidden="false" customHeight="true" outlineLevel="0" collapsed="false">
      <c r="A11" s="8" t="s">
        <v>358</v>
      </c>
      <c r="B11" s="64" t="n">
        <f aca="false">'Market Inputs'!D17*1000/('Balance Sheet'!D35-'Balance Sheet'!D13-'Balance Sheet'!D14)</f>
        <v>2.50110812514927</v>
      </c>
      <c r="C11" s="65" t="n">
        <v>5.76</v>
      </c>
      <c r="D11" s="65" t="n">
        <v>1.61</v>
      </c>
      <c r="E11" s="66" t="n">
        <f aca="false">MEDIAN(B11:D11)</f>
        <v>2.50110812514927</v>
      </c>
      <c r="F11" s="60" t="s">
        <v>359</v>
      </c>
      <c r="H11" s="58" t="s">
        <v>360</v>
      </c>
    </row>
    <row r="12" customFormat="false" ht="24" hidden="false" customHeight="true" outlineLevel="0" collapsed="false">
      <c r="A12" s="8" t="s">
        <v>361</v>
      </c>
      <c r="B12" s="62" t="n">
        <f aca="false">'Market Inputs'!D18/'Market Inputs'!D22</f>
        <v>5.24808184143223</v>
      </c>
      <c r="C12" s="53" t="n">
        <v>7.4</v>
      </c>
      <c r="D12" s="53" t="n">
        <v>1</v>
      </c>
      <c r="E12" s="63" t="n">
        <f aca="false">MEDIAN(B12:D12)</f>
        <v>5.24808184143223</v>
      </c>
      <c r="F12" s="60" t="s">
        <v>362</v>
      </c>
      <c r="H12" s="58" t="s">
        <v>363</v>
      </c>
    </row>
    <row r="14" customFormat="false" ht="15" hidden="false" customHeight="true" outlineLevel="0" collapsed="false">
      <c r="A14" s="15" t="s">
        <v>364</v>
      </c>
    </row>
    <row r="15" customFormat="false" ht="15" hidden="false" customHeight="true" outlineLevel="0" collapsed="false">
      <c r="A15" s="18" t="s">
        <v>365</v>
      </c>
    </row>
    <row r="16" customFormat="false" ht="15" hidden="false" customHeight="true" outlineLevel="0" collapsed="false">
      <c r="A16" s="18" t="s">
        <v>366</v>
      </c>
    </row>
    <row r="18" customFormat="false" ht="15" hidden="false" customHeight="true" outlineLevel="0" collapsed="false">
      <c r="A18" s="15" t="s">
        <v>367</v>
      </c>
    </row>
    <row r="19" customFormat="false" ht="15" hidden="false" customHeight="true" outlineLevel="0" collapsed="false">
      <c r="A19" s="8" t="s">
        <v>368</v>
      </c>
    </row>
    <row r="20" customFormat="false" ht="15" hidden="false" customHeight="true" outlineLevel="0" collapsed="false">
      <c r="A20" s="8" t="s">
        <v>369</v>
      </c>
    </row>
    <row r="21" customFormat="false" ht="15" hidden="false" customHeight="true" outlineLevel="0" collapsed="false">
      <c r="A21" s="8" t="s">
        <v>370</v>
      </c>
    </row>
    <row r="22" customFormat="false" ht="15" hidden="false" customHeight="true" outlineLevel="0" collapsed="false">
      <c r="A22" s="8" t="s">
        <v>371</v>
      </c>
    </row>
    <row r="24" customFormat="false" ht="15" hidden="false" customHeight="true" outlineLevel="0" collapsed="false">
      <c r="A24" s="18" t="s">
        <v>372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78"/>
    <col collapsed="false" customWidth="true" hidden="false" outlineLevel="0" max="5" min="5" style="1" width="60"/>
  </cols>
  <sheetData>
    <row r="1" customFormat="false" ht="15" hidden="false" customHeight="true" outlineLevel="0" collapsed="false">
      <c r="A1" s="12" t="s">
        <v>373</v>
      </c>
    </row>
    <row r="2" customFormat="false" ht="15" hidden="false" customHeight="true" outlineLevel="0" collapsed="false">
      <c r="A2" s="11" t="s">
        <v>374</v>
      </c>
    </row>
    <row r="4" customFormat="false" ht="15" hidden="false" customHeight="true" outlineLevel="0" collapsed="false">
      <c r="A4" s="43" t="s">
        <v>375</v>
      </c>
      <c r="B4" s="43" t="s">
        <v>376</v>
      </c>
      <c r="C4" s="43" t="s">
        <v>377</v>
      </c>
      <c r="D4" s="43" t="s">
        <v>378</v>
      </c>
      <c r="E4" s="43" t="s">
        <v>379</v>
      </c>
    </row>
    <row r="5" customFormat="false" ht="33.75" hidden="false" customHeight="true" outlineLevel="0" collapsed="false">
      <c r="A5" s="67" t="s">
        <v>380</v>
      </c>
      <c r="B5" s="67" t="s">
        <v>381</v>
      </c>
      <c r="C5" s="67" t="s">
        <v>382</v>
      </c>
      <c r="D5" s="68" t="s">
        <v>383</v>
      </c>
      <c r="E5" s="68" t="s">
        <v>384</v>
      </c>
    </row>
    <row r="6" customFormat="false" ht="33.75" hidden="false" customHeight="true" outlineLevel="0" collapsed="false">
      <c r="A6" s="67" t="s">
        <v>385</v>
      </c>
      <c r="B6" s="67" t="s">
        <v>386</v>
      </c>
      <c r="C6" s="67" t="s">
        <v>382</v>
      </c>
      <c r="D6" s="68" t="s">
        <v>387</v>
      </c>
      <c r="E6" s="68" t="s">
        <v>388</v>
      </c>
    </row>
    <row r="7" customFormat="false" ht="33.75" hidden="false" customHeight="true" outlineLevel="0" collapsed="false">
      <c r="A7" s="67" t="s">
        <v>389</v>
      </c>
      <c r="B7" s="67" t="s">
        <v>386</v>
      </c>
      <c r="C7" s="67" t="s">
        <v>382</v>
      </c>
      <c r="D7" s="68" t="s">
        <v>390</v>
      </c>
      <c r="E7" s="68" t="s">
        <v>391</v>
      </c>
    </row>
    <row r="8" customFormat="false" ht="33.75" hidden="false" customHeight="true" outlineLevel="0" collapsed="false">
      <c r="A8" s="67" t="s">
        <v>392</v>
      </c>
      <c r="B8" s="67" t="s">
        <v>386</v>
      </c>
      <c r="C8" s="67" t="s">
        <v>382</v>
      </c>
      <c r="D8" s="68" t="s">
        <v>393</v>
      </c>
      <c r="E8" s="68" t="s">
        <v>394</v>
      </c>
    </row>
    <row r="9" customFormat="false" ht="33.75" hidden="false" customHeight="true" outlineLevel="0" collapsed="false">
      <c r="A9" s="67" t="s">
        <v>395</v>
      </c>
      <c r="B9" s="67" t="s">
        <v>386</v>
      </c>
      <c r="C9" s="67" t="s">
        <v>382</v>
      </c>
      <c r="D9" s="68" t="s">
        <v>396</v>
      </c>
      <c r="E9" s="68" t="s">
        <v>397</v>
      </c>
    </row>
    <row r="10" customFormat="false" ht="33.75" hidden="false" customHeight="true" outlineLevel="0" collapsed="false">
      <c r="A10" s="67" t="s">
        <v>398</v>
      </c>
      <c r="B10" s="67" t="s">
        <v>386</v>
      </c>
      <c r="C10" s="67" t="s">
        <v>382</v>
      </c>
      <c r="D10" s="68" t="s">
        <v>399</v>
      </c>
      <c r="E10" s="68" t="s">
        <v>400</v>
      </c>
    </row>
    <row r="11" customFormat="false" ht="33.75" hidden="false" customHeight="true" outlineLevel="0" collapsed="false">
      <c r="A11" s="67" t="s">
        <v>401</v>
      </c>
      <c r="B11" s="67" t="s">
        <v>386</v>
      </c>
      <c r="C11" s="67" t="s">
        <v>382</v>
      </c>
      <c r="D11" s="68" t="s">
        <v>402</v>
      </c>
      <c r="E11" s="68" t="s">
        <v>403</v>
      </c>
    </row>
    <row r="12" customFormat="false" ht="33.75" hidden="false" customHeight="true" outlineLevel="0" collapsed="false">
      <c r="A12" s="67" t="s">
        <v>404</v>
      </c>
      <c r="B12" s="67" t="s">
        <v>386</v>
      </c>
      <c r="C12" s="67" t="s">
        <v>382</v>
      </c>
      <c r="D12" s="68" t="s">
        <v>405</v>
      </c>
      <c r="E12" s="68" t="s">
        <v>406</v>
      </c>
    </row>
    <row r="13" customFormat="false" ht="33.75" hidden="false" customHeight="true" outlineLevel="0" collapsed="false">
      <c r="A13" s="69" t="s">
        <v>407</v>
      </c>
      <c r="B13" s="69" t="s">
        <v>386</v>
      </c>
      <c r="C13" s="69" t="s">
        <v>382</v>
      </c>
      <c r="D13" s="68" t="s">
        <v>408</v>
      </c>
      <c r="E13" s="68" t="s">
        <v>409</v>
      </c>
    </row>
    <row r="14" customFormat="false" ht="15" hidden="false" customHeight="true" outlineLevel="0" collapsed="false">
      <c r="A14" s="70"/>
      <c r="B14" s="70"/>
      <c r="C14" s="70"/>
      <c r="D14" s="70"/>
      <c r="E14" s="70"/>
    </row>
    <row r="16" customFormat="false" ht="15" hidden="false" customHeight="true" outlineLevel="0" collapsed="false">
      <c r="A16" s="18" t="s">
        <v>410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30"/>
    <col collapsed="false" customWidth="true" hidden="false" outlineLevel="0" max="3" min="3" style="1" width="56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40"/>
  </cols>
  <sheetData>
    <row r="1" customFormat="false" ht="15" hidden="false" customHeight="true" outlineLevel="0" collapsed="false">
      <c r="A1" s="12" t="s">
        <v>411</v>
      </c>
    </row>
    <row r="2" customFormat="false" ht="15" hidden="false" customHeight="true" outlineLevel="0" collapsed="false">
      <c r="A2" s="11" t="s">
        <v>412</v>
      </c>
    </row>
    <row r="4" customFormat="false" ht="15" hidden="false" customHeight="true" outlineLevel="0" collapsed="false">
      <c r="A4" s="71" t="s">
        <v>413</v>
      </c>
      <c r="B4" s="71" t="s">
        <v>414</v>
      </c>
      <c r="C4" s="71" t="s">
        <v>415</v>
      </c>
      <c r="D4" s="71" t="s">
        <v>416</v>
      </c>
      <c r="E4" s="71" t="s">
        <v>417</v>
      </c>
      <c r="F4" s="71" t="s">
        <v>418</v>
      </c>
    </row>
    <row r="5" customFormat="false" ht="15" hidden="false" customHeight="true" outlineLevel="0" collapsed="false">
      <c r="A5" s="72" t="s">
        <v>419</v>
      </c>
      <c r="B5" s="73"/>
      <c r="C5" s="73"/>
      <c r="D5" s="73"/>
      <c r="E5" s="73"/>
      <c r="F5" s="73"/>
    </row>
    <row r="6" customFormat="false" ht="30" hidden="false" customHeight="true" outlineLevel="0" collapsed="false">
      <c r="A6" s="68" t="s">
        <v>420</v>
      </c>
      <c r="B6" s="68" t="s">
        <v>421</v>
      </c>
      <c r="C6" s="68" t="s">
        <v>422</v>
      </c>
      <c r="D6" s="74" t="str">
        <f aca="false">HYPERLINK("https://www.sec.gov/Archives/edgar/data/1818874/000181887426000008/a2025q4earningsrelease.htm","Open ↗")</f>
        <v>Open ↗</v>
      </c>
      <c r="E6" s="68" t="s">
        <v>381</v>
      </c>
      <c r="F6" s="75" t="s">
        <v>423</v>
      </c>
    </row>
    <row r="7" customFormat="false" ht="30" hidden="false" customHeight="true" outlineLevel="0" collapsed="false">
      <c r="A7" s="68" t="s">
        <v>424</v>
      </c>
      <c r="B7" s="68" t="s">
        <v>421</v>
      </c>
      <c r="C7" s="68" t="s">
        <v>425</v>
      </c>
      <c r="D7" s="74" t="str">
        <f aca="false">HYPERLINK("https://www.sec.gov/Archives/edgar/data/1818874/000181887425000006/q42024earningsrelease.htm","Open ↗")</f>
        <v>Open ↗</v>
      </c>
      <c r="E7" s="68" t="s">
        <v>381</v>
      </c>
      <c r="F7" s="75" t="s">
        <v>426</v>
      </c>
    </row>
    <row r="8" customFormat="false" ht="30" hidden="false" customHeight="true" outlineLevel="0" collapsed="false">
      <c r="A8" s="68" t="s">
        <v>427</v>
      </c>
      <c r="B8" s="68" t="s">
        <v>428</v>
      </c>
      <c r="C8" s="68" t="s">
        <v>429</v>
      </c>
      <c r="D8" s="74" t="str">
        <f aca="false">HYPERLINK("https://www.sec.gov/Archives/edgar/data/1818874/000181887426000013/R5.htm","Open ↗")</f>
        <v>Open ↗</v>
      </c>
      <c r="E8" s="68" t="s">
        <v>381</v>
      </c>
      <c r="F8" s="75" t="s">
        <v>426</v>
      </c>
    </row>
    <row r="9" customFormat="false" ht="30" hidden="false" customHeight="true" outlineLevel="0" collapsed="false">
      <c r="A9" s="68" t="s">
        <v>430</v>
      </c>
      <c r="B9" s="68" t="s">
        <v>431</v>
      </c>
      <c r="C9" s="68" t="s">
        <v>432</v>
      </c>
      <c r="D9" s="74" t="str">
        <f aca="false">HYPERLINK("https://www.sec.gov/Archives/edgar/data/1818874/000181887426000013/R131.htm","Open ↗")</f>
        <v>Open ↗</v>
      </c>
      <c r="E9" s="68" t="s">
        <v>386</v>
      </c>
      <c r="F9" s="75" t="s">
        <v>433</v>
      </c>
    </row>
    <row r="10" customFormat="false" ht="15" hidden="false" customHeight="true" outlineLevel="0" collapsed="false">
      <c r="A10" s="72" t="s">
        <v>434</v>
      </c>
      <c r="B10" s="73"/>
      <c r="C10" s="73"/>
      <c r="D10" s="73"/>
      <c r="E10" s="73"/>
      <c r="F10" s="73"/>
    </row>
    <row r="11" customFormat="false" ht="30" hidden="false" customHeight="true" outlineLevel="0" collapsed="false">
      <c r="A11" s="68" t="s">
        <v>435</v>
      </c>
      <c r="B11" s="68" t="s">
        <v>436</v>
      </c>
      <c r="C11" s="68" t="s">
        <v>437</v>
      </c>
      <c r="D11" s="74" t="str">
        <f aca="false">HYPERLINK("https://www.sec.gov/Archives/edgar/data/1818874/000181887425000006/q42024earningsrelease.htm","Open ↗")</f>
        <v>Open ↗</v>
      </c>
      <c r="E11" s="68" t="s">
        <v>386</v>
      </c>
      <c r="F11" s="75" t="s">
        <v>438</v>
      </c>
    </row>
    <row r="12" customFormat="false" ht="15" hidden="false" customHeight="true" outlineLevel="0" collapsed="false">
      <c r="A12" s="72" t="s">
        <v>439</v>
      </c>
      <c r="B12" s="73"/>
      <c r="C12" s="73"/>
      <c r="D12" s="73"/>
      <c r="E12" s="73"/>
      <c r="F12" s="73"/>
    </row>
    <row r="13" customFormat="false" ht="30" hidden="false" customHeight="true" outlineLevel="0" collapsed="false">
      <c r="A13" s="68" t="s">
        <v>440</v>
      </c>
      <c r="B13" s="68" t="s">
        <v>441</v>
      </c>
      <c r="C13" s="68" t="s">
        <v>442</v>
      </c>
      <c r="D13" s="74" t="str">
        <f aca="false">HYPERLINK("https://home.treasury.gov/resource-center/data-chart-center/interest-rates/","Open ↗")</f>
        <v>Open ↗</v>
      </c>
      <c r="E13" s="68" t="s">
        <v>443</v>
      </c>
      <c r="F13" s="75" t="s">
        <v>444</v>
      </c>
    </row>
    <row r="14" customFormat="false" ht="30" hidden="false" customHeight="true" outlineLevel="0" collapsed="false">
      <c r="A14" s="68" t="s">
        <v>445</v>
      </c>
      <c r="B14" s="68" t="s">
        <v>441</v>
      </c>
      <c r="C14" s="68" t="s">
        <v>446</v>
      </c>
      <c r="D14" s="74" t="str">
        <f aca="false">HYPERLINK("https://www.newyorkfed.org/markets/reference-rates/sofr","Open ↗")</f>
        <v>Open ↗</v>
      </c>
      <c r="E14" s="68" t="s">
        <v>443</v>
      </c>
      <c r="F14" s="75" t="s">
        <v>447</v>
      </c>
    </row>
    <row r="15" customFormat="false" ht="30" hidden="false" customHeight="true" outlineLevel="0" collapsed="false">
      <c r="A15" s="68" t="s">
        <v>448</v>
      </c>
      <c r="B15" s="68" t="s">
        <v>449</v>
      </c>
      <c r="C15" s="68" t="s">
        <v>450</v>
      </c>
      <c r="D15" s="74" t="str">
        <f aca="false">HYPERLINK("https://stockanalysis.com/stocks/sofi/statistics/","Open ↗")</f>
        <v>Open ↗</v>
      </c>
      <c r="E15" s="68" t="s">
        <v>443</v>
      </c>
      <c r="F15" s="75" t="s">
        <v>451</v>
      </c>
    </row>
    <row r="16" customFormat="false" ht="15" hidden="false" customHeight="true" outlineLevel="0" collapsed="false">
      <c r="A16" s="72" t="s">
        <v>452</v>
      </c>
      <c r="B16" s="73"/>
      <c r="C16" s="73"/>
      <c r="D16" s="73"/>
      <c r="E16" s="73"/>
      <c r="F16" s="73"/>
    </row>
    <row r="17" customFormat="false" ht="30" hidden="false" customHeight="true" outlineLevel="0" collapsed="false">
      <c r="A17" s="68" t="s">
        <v>453</v>
      </c>
      <c r="B17" s="68" t="s">
        <v>454</v>
      </c>
      <c r="C17" s="68" t="s">
        <v>455</v>
      </c>
      <c r="D17" s="74" t="str">
        <f aca="false">HYPERLINK("https://international.nubank.com.br/company/nu-holdings-ltd-reports-fourth-quarter-and-full-year-2025-financial-results/","Open ↗")</f>
        <v>Open ↗</v>
      </c>
      <c r="E17" s="68" t="s">
        <v>386</v>
      </c>
      <c r="F17" s="75" t="s">
        <v>456</v>
      </c>
    </row>
    <row r="18" customFormat="false" ht="30" hidden="false" customHeight="true" outlineLevel="0" collapsed="false">
      <c r="A18" s="68" t="s">
        <v>457</v>
      </c>
      <c r="B18" s="68" t="s">
        <v>454</v>
      </c>
      <c r="C18" s="68" t="s">
        <v>458</v>
      </c>
      <c r="D18" s="74" t="str">
        <f aca="false">HYPERLINK("https://ir.lendingclub.com/news/news-details/2026/LendingClub-Reports-Fourth-Quarter-and-Full-Year-2025-Results/default.aspx","Open ↗")</f>
        <v>Open ↗</v>
      </c>
      <c r="E18" s="68" t="s">
        <v>386</v>
      </c>
      <c r="F18" s="75" t="s">
        <v>456</v>
      </c>
    </row>
    <row r="19" customFormat="false" ht="30" hidden="false" customHeight="true" outlineLevel="0" collapsed="false">
      <c r="A19" s="68" t="s">
        <v>459</v>
      </c>
      <c r="B19" s="68" t="s">
        <v>454</v>
      </c>
      <c r="C19" s="68" t="s">
        <v>460</v>
      </c>
      <c r="D19" s="74" t="str">
        <f aca="false">HYPERLINK("https://simplywall.st/markets/us/financials/banks","Open ↗")</f>
        <v>Open ↗</v>
      </c>
      <c r="E19" s="68" t="s">
        <v>386</v>
      </c>
      <c r="F19" s="75" t="s">
        <v>461</v>
      </c>
    </row>
    <row r="20" customFormat="false" ht="15" hidden="false" customHeight="true" outlineLevel="0" collapsed="false">
      <c r="A20" s="72" t="s">
        <v>462</v>
      </c>
      <c r="B20" s="73"/>
      <c r="C20" s="73"/>
      <c r="D20" s="73"/>
      <c r="E20" s="73"/>
      <c r="F20" s="73"/>
    </row>
    <row r="21" customFormat="false" ht="30" hidden="false" customHeight="true" outlineLevel="0" collapsed="false">
      <c r="A21" s="68" t="s">
        <v>463</v>
      </c>
      <c r="B21" s="68" t="s">
        <v>464</v>
      </c>
      <c r="C21" s="68" t="s">
        <v>465</v>
      </c>
      <c r="D21" s="76" t="s">
        <v>342</v>
      </c>
      <c r="E21" s="68" t="s">
        <v>386</v>
      </c>
      <c r="F21" s="75" t="s">
        <v>466</v>
      </c>
    </row>
    <row r="23" customFormat="false" ht="15" hidden="false" customHeight="true" outlineLevel="0" collapsed="false">
      <c r="A23" s="18" t="s">
        <v>467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2026-07-20T06:47:46Z</dcterms:created>
  <dc:creator>openpyxl</dc:creator>
  <dc:description/>
  <dc:language>en-US</dc:language>
  <cp:lastModifiedBy/>
  <dcterms:modified xsi:type="dcterms:W3CDTF">2026-07-20T08:40:08Z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